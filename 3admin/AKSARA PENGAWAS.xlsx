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BDB0C8-3E75-4FC4-B709-47D16140134F}" xr6:coauthVersionLast="43" xr6:coauthVersionMax="43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<sst xmlns="http://schemas.openxmlformats.org/spreadsheetml/2006/main" count="673" uniqueCount="149">
  <si>
    <t>Nama</t>
  </si>
  <si>
    <t>Pass</t>
  </si>
  <si>
    <t>Kelas</t>
  </si>
  <si>
    <t>Aksi</t>
  </si>
  <si>
    <t>ADELIA DIAS KUSWANDONO</t>
  </si>
  <si>
    <t>9A</t>
  </si>
  <si>
    <t>ADELIA PUTRI</t>
  </si>
  <si>
    <t>ADIT ASYRIL ROKHMAN</t>
  </si>
  <si>
    <t>AHMAD KHOBIR RIFAI</t>
  </si>
  <si>
    <t>AHMAD NURUS SHOBA</t>
  </si>
  <si>
    <t>AINIYAH ROFIATUL TSABITAH</t>
  </si>
  <si>
    <t>ARNADIA SABRINA KASIM</t>
  </si>
  <si>
    <t>AURA SHINTYA SARI</t>
  </si>
  <si>
    <t>AZZAM ARYA SAHPUTRA</t>
  </si>
  <si>
    <t>DEWI AMANDA</t>
  </si>
  <si>
    <t>DIMAS ALFIANSYAH PUTRA</t>
  </si>
  <si>
    <t>EMILIA SALSABELA PUTRI</t>
  </si>
  <si>
    <t>ERSAN SYAH SURYA PRAMONO</t>
  </si>
  <si>
    <t>FERNANDO TRIA PERKASA</t>
  </si>
  <si>
    <t>FITRIA ADINDA AZZAHROH</t>
  </si>
  <si>
    <t>HILDAN ARAFAT</t>
  </si>
  <si>
    <t>JAYFER ADE ASYRAF</t>
  </si>
  <si>
    <t>M. FITSAL ASFA MUZAKFAR</t>
  </si>
  <si>
    <t>MUHAMMAD DZIKRUL ADITYA</t>
  </si>
  <si>
    <t>MUHAMMAD MARSEL ARIZKY</t>
  </si>
  <si>
    <t>MUHAMMAD SALMAN RAJAB</t>
  </si>
  <si>
    <t>MUHAMMAD SYAHRUL MUNIR</t>
  </si>
  <si>
    <t>PUTRI AYU LESTARI</t>
  </si>
  <si>
    <t>RAMA NUR PRADITYA</t>
  </si>
  <si>
    <t>REIHAN FITRAH AL RASYAD</t>
  </si>
  <si>
    <t>REZA FIRMANSYAH SAPUTRA</t>
  </si>
  <si>
    <t>SAFA EKA MIFTAKHUL JANNAH</t>
  </si>
  <si>
    <t>SITI AISYAH</t>
  </si>
  <si>
    <t>ALDIRA DWI LINGGA</t>
  </si>
  <si>
    <t>9B</t>
  </si>
  <si>
    <t>ALFINO ARDIANSYAH</t>
  </si>
  <si>
    <t>ALYA SALMAGHANI SAPUTRI</t>
  </si>
  <si>
    <t>APRILIA AURITA INEREKHU</t>
  </si>
  <si>
    <t>CANTIKA NAYFILA NUR MADINA</t>
  </si>
  <si>
    <t>DIO REZKY ADITYA PRATAMA</t>
  </si>
  <si>
    <t>FARIDA AINUN NISA</t>
  </si>
  <si>
    <t>FITRIA ZAHIRA</t>
  </si>
  <si>
    <t>INEDA NUR CHAMELIA</t>
  </si>
  <si>
    <t>IRVINA PUTRI HAFIDZ</t>
  </si>
  <si>
    <t>KALISTIANA SINTA SARI</t>
  </si>
  <si>
    <t>KHANZIANO DHAVA NOVANDRA</t>
  </si>
  <si>
    <t>MAFTUH FADHIL MUBAROK</t>
  </si>
  <si>
    <t>MIRZA ARDIANSYAH</t>
  </si>
  <si>
    <t>MOCHAMAD AFAN MAULANA</t>
  </si>
  <si>
    <t>MUHAMAD ALEVAN WAHYUDI</t>
  </si>
  <si>
    <t>MUHAMAD IVAN TIMUR WARDANA</t>
  </si>
  <si>
    <t>MUHAMAD NAFIZ ALIF PRATAMA</t>
  </si>
  <si>
    <t>MUHAMMAD DIMAS WIJAYANTO</t>
  </si>
  <si>
    <t>MUHAMMAD FEBRIANTO</t>
  </si>
  <si>
    <t>MUHAMMAD ZIDAN AL FATHIR</t>
  </si>
  <si>
    <t>NUR INDAH SARI DWI NINGSIH</t>
  </si>
  <si>
    <t>NURRAFA PUTRA ILHAM</t>
  </si>
  <si>
    <t>SAFA ATIN NISA</t>
  </si>
  <si>
    <t>SUKMA AULIA QURNIANING FITROH</t>
  </si>
  <si>
    <t>TEGAR PUTRA HADIANSYAH</t>
  </si>
  <si>
    <t>TESSA ILYA MUDHOLIFA</t>
  </si>
  <si>
    <t>VIKY ARI RAKHMAN</t>
  </si>
  <si>
    <t>AHIT NA HAKIM</t>
  </si>
  <si>
    <t>9C</t>
  </si>
  <si>
    <t>AHMAD AL BAKTI RINZA JUNI</t>
  </si>
  <si>
    <t>AHMAD FAIQUL HIMAM</t>
  </si>
  <si>
    <t>AISYAH</t>
  </si>
  <si>
    <t>ALDO ELGI PRATAMA</t>
  </si>
  <si>
    <t>ANDRE DWI MAHENDRA</t>
  </si>
  <si>
    <t>CHESIL AULIA PRASTIA</t>
  </si>
  <si>
    <t>CHIKA AMALIA PUTRI UTAMA</t>
  </si>
  <si>
    <t>DONNY</t>
  </si>
  <si>
    <t>EKA CANDRA KURNIA SARI</t>
  </si>
  <si>
    <t>HURUL FAUSTA SALSABILLAH</t>
  </si>
  <si>
    <t>IAN EKA PRATAMA</t>
  </si>
  <si>
    <t>IMELIA ANISA RAMADHANI</t>
  </si>
  <si>
    <t>IRWAN AHMAD KURNIAWAN</t>
  </si>
  <si>
    <t>ISMAYANTI DWI PERMATASARI</t>
  </si>
  <si>
    <t>KARTIKA SARI DEVI</t>
  </si>
  <si>
    <t>KHOLISHOTUN NADA</t>
  </si>
  <si>
    <t>M. Nizar Abdillah</t>
  </si>
  <si>
    <t>MOCH. RIZKY ROMADHON</t>
  </si>
  <si>
    <t>MOCHAMMAD RISKY HERMAWAN</t>
  </si>
  <si>
    <t>MOHAMAD AZRIL AUZAN</t>
  </si>
  <si>
    <t>MUHAMAD ZONA PERMANA</t>
  </si>
  <si>
    <t>MUHAMMAD IMAM ARIFIN</t>
  </si>
  <si>
    <t>NURIZA MUKHTADIN MOKHSIT</t>
  </si>
  <si>
    <t>REHAN SAPUTRA SUPARDIONO</t>
  </si>
  <si>
    <t>RIFA NUR AINI</t>
  </si>
  <si>
    <t>SHILVILIA NADYA PUTRI</t>
  </si>
  <si>
    <t>ACHMAD ANDY FATKUR ROHMAN</t>
  </si>
  <si>
    <t>9D</t>
  </si>
  <si>
    <t>ALFIA MASAIDA</t>
  </si>
  <si>
    <t>ANANDA KHUNAINAH</t>
  </si>
  <si>
    <t>ARFI NUR AFANDI</t>
  </si>
  <si>
    <t>ASHIEF EL BARQY AHMAD</t>
  </si>
  <si>
    <t>FAHRI PRASETYO</t>
  </si>
  <si>
    <t>FAZAIRA CHINTYA PUTRI</t>
  </si>
  <si>
    <t>HILWIN GRIASA PUTRA</t>
  </si>
  <si>
    <t>M. AGIS NUR ARIANSYAH</t>
  </si>
  <si>
    <t>M. FALEN YUDHA PERMANA</t>
  </si>
  <si>
    <t>MAULANA ADITYA AKHDAN</t>
  </si>
  <si>
    <t>MOHAMMAD AFIT SYAPUTRA</t>
  </si>
  <si>
    <t>MUHAMMAD ADITYA PRASETYO</t>
  </si>
  <si>
    <t>MUHAMMAD HAMZAH FADILAH</t>
  </si>
  <si>
    <t>MUHAMMAD NASHIFUDDIN AL JUFRI</t>
  </si>
  <si>
    <t>MUHAMMAD NOFAL AL - HAMID</t>
  </si>
  <si>
    <t>MUHAMMAD RISKHI ARIFIN</t>
  </si>
  <si>
    <t>MUHAMMAD RIVALDO AMIRUDDIN</t>
  </si>
  <si>
    <t>NAJWA AULIA BILGIS</t>
  </si>
  <si>
    <t>NIKMATUL KHASANAH</t>
  </si>
  <si>
    <t>NISRINA ZAHIRA</t>
  </si>
  <si>
    <t>RANIA ALFA MADINA</t>
  </si>
  <si>
    <t>SAFA ATUS SADIYAH</t>
  </si>
  <si>
    <t>SURYA ADITYA PANGESTU</t>
  </si>
  <si>
    <t>UMAR RADIKAL ALBAR</t>
  </si>
  <si>
    <t>VIKA PUTRI KURNIA</t>
  </si>
  <si>
    <t>WENDY PRADITA KURNIAWAN</t>
  </si>
  <si>
    <t>YULIANA MEYSAROH</t>
  </si>
  <si>
    <t>Username</t>
  </si>
  <si>
    <t>siswa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</si>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</sst>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/>
    <xf numFmtId="1" fontId="0" fillId="0" borderId="0" xfId="0" quotePrefix="1" applyNumberFormat="1" applyFont="1" applyFill="1" applyBorder="1"/>
    <xf numFmtId="0" fontId="0" fillId="0" borderId="0" xfId="0" quotePrefix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topLeftCell="B1" workbookViewId="0">
      <selection activeCell="I5" sqref="I5"/>
    </sheetView>
  </sheetViews>
  <sheetFormatPr defaultRowHeight="14.5"/>
  <cols>
    <col min="1" max="1" width="39.1796875" customWidth="1"/>
    <col min="2" max="2" width="6.7265625" customWidth="1"/>
    <col min="3" max="3" width="6" customWidth="1"/>
    <col min="5" max="5" width="28.08984375" bestFit="1" customWidth="1"/>
    <col min="6" max="6" width="3.08984375" bestFit="1" customWidth="1"/>
    <col min="10" max="10" width="9.36328125" bestFit="1" customWidth="1"/>
    <col min="11" max="11" width="28.08984375" bestFit="1" customWidth="1"/>
    <col min="12" max="12" width="5.08984375" bestFit="1" customWidth="1"/>
  </cols>
  <sheetData>
    <row r="1" spans="1:13">
      <c r="A1" s="1" t="s">
        <v>0</v>
      </c>
      <c r="B1" s="1" t="s">
        <v>2</v>
      </c>
      <c r="C1" s="1" t="s">
        <v>3</v>
      </c>
      <c r="J1" s="2" t="s">
        <v>119</v>
      </c>
      <c r="K1" s="2" t="s">
        <v>0</v>
      </c>
      <c r="L1" s="2" t="s">
        <v>2</v>
      </c>
      <c r="M1" s="2" t="s">
        <v>1</v>
      </c>
    </row>
    <row r="2" spans="1:13">
      <c r="A2" t="s">
        <v>4</v>
      </c>
      <c r="B2" t="s">
        <v>5</v>
      </c>
      <c r="C2">
        <v>26</v>
      </c>
      <c r="D2" s="3" t="s">
        <v>121</v>
      </c>
      <c r="E2" t="str">
        <f>PROPER(A2)</f>
        <v>Adelia Dias Kuswandono</v>
      </c>
      <c r="F2" t="s">
        <v>5</v>
      </c>
      <c r="G2">
        <f>IF(F2="9A",91,IF(F2="9B",92,IF(F2="9C",93,IF(F2="9D",94,""))))</f>
        <v>91</v>
      </c>
      <c r="J2" t="str">
        <f>C2&amp;G2&amp;D2</f>
        <v>269101</v>
      </c>
      <c r="K2" t="str">
        <f>E2</f>
        <v>Adelia Dias Kuswandono</v>
      </c>
      <c r="L2" t="s">
        <v>5</v>
      </c>
      <c r="M2" t="s">
        <v>120</v>
      </c>
    </row>
    <row r="3" spans="1:13">
      <c r="A3" t="s">
        <v>6</v>
      </c>
      <c r="B3" t="s">
        <v>5</v>
      </c>
      <c r="C3">
        <v>26</v>
      </c>
      <c r="D3" s="4" t="s">
        <v>122</v>
      </c>
      <c r="E3" t="str">
        <f t="shared" ref="E3:E66" si="0">PROPER(A3)</f>
        <v>Adelia Putri</v>
      </c>
      <c r="F3" t="s">
        <v>5</v>
      </c>
      <c r="G3">
        <f t="shared" ref="G3:G66" si="1">IF(F3="9A",91,IF(F3="9B",92,IF(F3="9C",93,IF(F3="9D",94,""))))</f>
        <v>91</v>
      </c>
      <c r="J3" t="str">
        <f t="shared" ref="J3:J66" si="2">C3&amp;G3&amp;D3</f>
        <v>269102</v>
      </c>
      <c r="K3" t="str">
        <f t="shared" ref="K3:K66" si="3">E3</f>
        <v>Adelia Putri</v>
      </c>
      <c r="L3" t="s">
        <v>5</v>
      </c>
      <c r="M3" t="s">
        <v>120</v>
      </c>
    </row>
    <row r="4" spans="1:13">
      <c r="A4" t="s">
        <v>7</v>
      </c>
      <c r="B4" t="s">
        <v>5</v>
      </c>
      <c r="C4">
        <v>26</v>
      </c>
      <c r="D4" s="3" t="s">
        <v>123</v>
      </c>
      <c r="E4" t="str">
        <f t="shared" si="0"/>
        <v>Adit Asyril Rokhman</v>
      </c>
      <c r="F4" t="s">
        <v>5</v>
      </c>
      <c r="G4">
        <f t="shared" si="1"/>
        <v>91</v>
      </c>
      <c r="J4" t="str">
        <f t="shared" si="2"/>
        <v>269103</v>
      </c>
      <c r="K4" t="str">
        <f t="shared" si="3"/>
        <v>Adit Asyril Rokhman</v>
      </c>
      <c r="L4" t="s">
        <v>5</v>
      </c>
      <c r="M4" t="s">
        <v>120</v>
      </c>
    </row>
    <row r="5" spans="1:13">
      <c r="A5" t="s">
        <v>8</v>
      </c>
      <c r="B5" t="s">
        <v>5</v>
      </c>
      <c r="C5">
        <v>26</v>
      </c>
      <c r="D5" s="4" t="s">
        <v>124</v>
      </c>
      <c r="E5" t="str">
        <f t="shared" si="0"/>
        <v>Ahmad Khobir Rifai</v>
      </c>
      <c r="F5" t="s">
        <v>5</v>
      </c>
      <c r="G5">
        <f t="shared" si="1"/>
        <v>91</v>
      </c>
      <c r="J5" t="str">
        <f t="shared" si="2"/>
        <v>269104</v>
      </c>
      <c r="K5" t="str">
        <f t="shared" si="3"/>
        <v>Ahmad Khobir Rifai</v>
      </c>
      <c r="L5" t="s">
        <v>5</v>
      </c>
      <c r="M5" t="s">
        <v>120</v>
      </c>
    </row>
    <row r="6" spans="1:13">
      <c r="A6" t="s">
        <v>9</v>
      </c>
      <c r="B6" t="s">
        <v>5</v>
      </c>
      <c r="C6">
        <v>26</v>
      </c>
      <c r="D6" s="3" t="s">
        <v>125</v>
      </c>
      <c r="E6" t="str">
        <f t="shared" si="0"/>
        <v>Ahmad Nurus Shoba</v>
      </c>
      <c r="F6" t="s">
        <v>5</v>
      </c>
      <c r="G6">
        <f t="shared" si="1"/>
        <v>91</v>
      </c>
      <c r="J6" t="str">
        <f t="shared" si="2"/>
        <v>269105</v>
      </c>
      <c r="K6" t="str">
        <f t="shared" si="3"/>
        <v>Ahmad Nurus Shoba</v>
      </c>
      <c r="L6" t="s">
        <v>5</v>
      </c>
      <c r="M6" t="s">
        <v>120</v>
      </c>
    </row>
    <row r="7" spans="1:13">
      <c r="A7" t="s">
        <v>10</v>
      </c>
      <c r="B7" t="s">
        <v>5</v>
      </c>
      <c r="C7">
        <v>26</v>
      </c>
      <c r="D7" s="4" t="s">
        <v>126</v>
      </c>
      <c r="E7" t="str">
        <f t="shared" si="0"/>
        <v>Ainiyah Rofiatul Tsabitah</v>
      </c>
      <c r="F7" t="s">
        <v>5</v>
      </c>
      <c r="G7">
        <f t="shared" si="1"/>
        <v>91</v>
      </c>
      <c r="J7" t="str">
        <f t="shared" si="2"/>
        <v>269106</v>
      </c>
      <c r="K7" t="str">
        <f t="shared" si="3"/>
        <v>Ainiyah Rofiatul Tsabitah</v>
      </c>
      <c r="L7" t="s">
        <v>5</v>
      </c>
      <c r="M7" t="s">
        <v>120</v>
      </c>
    </row>
    <row r="8" spans="1:13">
      <c r="A8" t="s">
        <v>11</v>
      </c>
      <c r="B8" t="s">
        <v>5</v>
      </c>
      <c r="C8">
        <v>26</v>
      </c>
      <c r="D8" s="3" t="s">
        <v>127</v>
      </c>
      <c r="E8" t="str">
        <f t="shared" si="0"/>
        <v>Arnadia Sabrina Kasim</v>
      </c>
      <c r="F8" t="s">
        <v>5</v>
      </c>
      <c r="G8">
        <f t="shared" si="1"/>
        <v>91</v>
      </c>
      <c r="J8" t="str">
        <f t="shared" si="2"/>
        <v>269107</v>
      </c>
      <c r="K8" t="str">
        <f t="shared" si="3"/>
        <v>Arnadia Sabrina Kasim</v>
      </c>
      <c r="L8" t="s">
        <v>5</v>
      </c>
      <c r="M8" t="s">
        <v>120</v>
      </c>
    </row>
    <row r="9" spans="1:13">
      <c r="A9" t="s">
        <v>12</v>
      </c>
      <c r="B9" t="s">
        <v>5</v>
      </c>
      <c r="C9">
        <v>26</v>
      </c>
      <c r="D9" s="4" t="s">
        <v>128</v>
      </c>
      <c r="E9" t="str">
        <f t="shared" si="0"/>
        <v>Aura Shintya Sari</v>
      </c>
      <c r="F9" t="s">
        <v>5</v>
      </c>
      <c r="G9">
        <f t="shared" si="1"/>
        <v>91</v>
      </c>
      <c r="J9" t="str">
        <f t="shared" si="2"/>
        <v>269108</v>
      </c>
      <c r="K9" t="str">
        <f t="shared" si="3"/>
        <v>Aura Shintya Sari</v>
      </c>
      <c r="L9" t="s">
        <v>5</v>
      </c>
      <c r="M9" t="s">
        <v>120</v>
      </c>
    </row>
    <row r="10" spans="1:13">
      <c r="A10" t="s">
        <v>13</v>
      </c>
      <c r="B10" t="s">
        <v>5</v>
      </c>
      <c r="C10">
        <v>26</v>
      </c>
      <c r="D10" s="3" t="s">
        <v>129</v>
      </c>
      <c r="E10" t="str">
        <f t="shared" si="0"/>
        <v>Azzam Arya Sahputra</v>
      </c>
      <c r="F10" t="s">
        <v>5</v>
      </c>
      <c r="G10">
        <f t="shared" si="1"/>
        <v>91</v>
      </c>
      <c r="J10" t="str">
        <f t="shared" si="2"/>
        <v>269109</v>
      </c>
      <c r="K10" t="str">
        <f t="shared" si="3"/>
        <v>Azzam Arya Sahputra</v>
      </c>
      <c r="L10" t="s">
        <v>5</v>
      </c>
      <c r="M10" t="s">
        <v>120</v>
      </c>
    </row>
    <row r="11" spans="1:13">
      <c r="A11" t="s">
        <v>14</v>
      </c>
      <c r="B11" t="s">
        <v>5</v>
      </c>
      <c r="C11">
        <v>26</v>
      </c>
      <c r="D11" s="3" t="s">
        <v>130</v>
      </c>
      <c r="E11" t="str">
        <f t="shared" si="0"/>
        <v>Dewi Amanda</v>
      </c>
      <c r="F11" t="s">
        <v>5</v>
      </c>
      <c r="G11">
        <f t="shared" si="1"/>
        <v>91</v>
      </c>
      <c r="J11" t="str">
        <f t="shared" si="2"/>
        <v>269110</v>
      </c>
      <c r="K11" t="str">
        <f t="shared" si="3"/>
        <v>Dewi Amanda</v>
      </c>
      <c r="L11" t="s">
        <v>5</v>
      </c>
      <c r="M11" t="s">
        <v>120</v>
      </c>
    </row>
    <row r="12" spans="1:13">
      <c r="A12" t="s">
        <v>15</v>
      </c>
      <c r="B12" t="s">
        <v>5</v>
      </c>
      <c r="C12">
        <v>26</v>
      </c>
      <c r="D12" s="4" t="s">
        <v>131</v>
      </c>
      <c r="E12" t="str">
        <f t="shared" si="0"/>
        <v>Dimas Alfiansyah Putra</v>
      </c>
      <c r="F12" t="s">
        <v>5</v>
      </c>
      <c r="G12">
        <f t="shared" si="1"/>
        <v>91</v>
      </c>
      <c r="J12" t="str">
        <f t="shared" si="2"/>
        <v>269111</v>
      </c>
      <c r="K12" t="str">
        <f t="shared" si="3"/>
        <v>Dimas Alfiansyah Putra</v>
      </c>
      <c r="L12" t="s">
        <v>5</v>
      </c>
      <c r="M12" t="s">
        <v>120</v>
      </c>
    </row>
    <row r="13" spans="1:13">
      <c r="A13" t="s">
        <v>16</v>
      </c>
      <c r="B13" t="s">
        <v>5</v>
      </c>
      <c r="C13">
        <v>26</v>
      </c>
      <c r="D13" s="3" t="s">
        <v>132</v>
      </c>
      <c r="E13" t="str">
        <f t="shared" si="0"/>
        <v>Emilia Salsabela Putri</v>
      </c>
      <c r="F13" t="s">
        <v>5</v>
      </c>
      <c r="G13">
        <f t="shared" si="1"/>
        <v>91</v>
      </c>
      <c r="J13" t="str">
        <f t="shared" si="2"/>
        <v>269112</v>
      </c>
      <c r="K13" t="str">
        <f t="shared" si="3"/>
        <v>Emilia Salsabela Putri</v>
      </c>
      <c r="L13" t="s">
        <v>5</v>
      </c>
      <c r="M13" t="s">
        <v>120</v>
      </c>
    </row>
    <row r="14" spans="1:13">
      <c r="A14" t="s">
        <v>17</v>
      </c>
      <c r="B14" t="s">
        <v>5</v>
      </c>
      <c r="C14">
        <v>26</v>
      </c>
      <c r="D14" s="4" t="s">
        <v>133</v>
      </c>
      <c r="E14" t="str">
        <f t="shared" si="0"/>
        <v>Ersan Syah Surya Pramono</v>
      </c>
      <c r="F14" t="s">
        <v>5</v>
      </c>
      <c r="G14">
        <f t="shared" si="1"/>
        <v>91</v>
      </c>
      <c r="J14" t="str">
        <f t="shared" si="2"/>
        <v>269113</v>
      </c>
      <c r="K14" t="str">
        <f t="shared" si="3"/>
        <v>Ersan Syah Surya Pramono</v>
      </c>
      <c r="L14" t="s">
        <v>5</v>
      </c>
      <c r="M14" t="s">
        <v>120</v>
      </c>
    </row>
    <row r="15" spans="1:13">
      <c r="A15" t="s">
        <v>18</v>
      </c>
      <c r="B15" t="s">
        <v>5</v>
      </c>
      <c r="C15">
        <v>26</v>
      </c>
      <c r="D15" s="3" t="s">
        <v>134</v>
      </c>
      <c r="E15" t="str">
        <f t="shared" si="0"/>
        <v>Fernando Tria Perkasa</v>
      </c>
      <c r="F15" t="s">
        <v>5</v>
      </c>
      <c r="G15">
        <f t="shared" si="1"/>
        <v>91</v>
      </c>
      <c r="J15" t="str">
        <f t="shared" si="2"/>
        <v>269114</v>
      </c>
      <c r="K15" t="str">
        <f t="shared" si="3"/>
        <v>Fernando Tria Perkasa</v>
      </c>
      <c r="L15" t="s">
        <v>5</v>
      </c>
      <c r="M15" t="s">
        <v>120</v>
      </c>
    </row>
    <row r="16" spans="1:13">
      <c r="A16" t="s">
        <v>19</v>
      </c>
      <c r="B16" t="s">
        <v>5</v>
      </c>
      <c r="C16">
        <v>26</v>
      </c>
      <c r="D16" s="4" t="s">
        <v>135</v>
      </c>
      <c r="E16" t="str">
        <f t="shared" si="0"/>
        <v>Fitria Adinda Azzahroh</v>
      </c>
      <c r="F16" t="s">
        <v>5</v>
      </c>
      <c r="G16">
        <f t="shared" si="1"/>
        <v>91</v>
      </c>
      <c r="J16" t="str">
        <f t="shared" si="2"/>
        <v>269115</v>
      </c>
      <c r="K16" t="str">
        <f t="shared" si="3"/>
        <v>Fitria Adinda Azzahroh</v>
      </c>
      <c r="L16" t="s">
        <v>5</v>
      </c>
      <c r="M16" t="s">
        <v>120</v>
      </c>
    </row>
    <row r="17" spans="1:13">
      <c r="A17" t="s">
        <v>20</v>
      </c>
      <c r="B17" t="s">
        <v>5</v>
      </c>
      <c r="C17">
        <v>26</v>
      </c>
      <c r="D17" s="3" t="s">
        <v>136</v>
      </c>
      <c r="E17" t="str">
        <f t="shared" si="0"/>
        <v>Hildan Arafat</v>
      </c>
      <c r="F17" t="s">
        <v>5</v>
      </c>
      <c r="G17">
        <f t="shared" si="1"/>
        <v>91</v>
      </c>
      <c r="J17" t="str">
        <f t="shared" si="2"/>
        <v>269116</v>
      </c>
      <c r="K17" t="str">
        <f t="shared" si="3"/>
        <v>Hildan Arafat</v>
      </c>
      <c r="L17" t="s">
        <v>5</v>
      </c>
      <c r="M17" t="s">
        <v>120</v>
      </c>
    </row>
    <row r="18" spans="1:13">
      <c r="A18" t="s">
        <v>21</v>
      </c>
      <c r="B18" t="s">
        <v>5</v>
      </c>
      <c r="C18">
        <v>26</v>
      </c>
      <c r="D18" s="4" t="s">
        <v>137</v>
      </c>
      <c r="E18" t="str">
        <f t="shared" si="0"/>
        <v>Jayfer Ade Asyraf</v>
      </c>
      <c r="F18" t="s">
        <v>5</v>
      </c>
      <c r="G18">
        <f t="shared" si="1"/>
        <v>91</v>
      </c>
      <c r="J18" t="str">
        <f t="shared" si="2"/>
        <v>269117</v>
      </c>
      <c r="K18" t="str">
        <f t="shared" si="3"/>
        <v>Jayfer Ade Asyraf</v>
      </c>
      <c r="L18" t="s">
        <v>5</v>
      </c>
      <c r="M18" t="s">
        <v>120</v>
      </c>
    </row>
    <row r="19" spans="1:13">
      <c r="A19" t="s">
        <v>22</v>
      </c>
      <c r="B19" t="s">
        <v>5</v>
      </c>
      <c r="C19">
        <v>26</v>
      </c>
      <c r="D19" s="3" t="s">
        <v>138</v>
      </c>
      <c r="E19" t="str">
        <f t="shared" si="0"/>
        <v>M. Fitsal Asfa Muzakfar</v>
      </c>
      <c r="F19" t="s">
        <v>5</v>
      </c>
      <c r="G19">
        <f t="shared" si="1"/>
        <v>91</v>
      </c>
      <c r="J19" t="str">
        <f t="shared" si="2"/>
        <v>269118</v>
      </c>
      <c r="K19" t="str">
        <f t="shared" si="3"/>
        <v>M. Fitsal Asfa Muzakfar</v>
      </c>
      <c r="L19" t="s">
        <v>5</v>
      </c>
      <c r="M19" t="s">
        <v>120</v>
      </c>
    </row>
    <row r="20" spans="1:13">
      <c r="A20" t="s">
        <v>23</v>
      </c>
      <c r="B20" t="s">
        <v>5</v>
      </c>
      <c r="C20">
        <v>26</v>
      </c>
      <c r="D20" s="3" t="s">
        <v>139</v>
      </c>
      <c r="E20" t="str">
        <f t="shared" si="0"/>
        <v>Muhammad Dzikrul Aditya</v>
      </c>
      <c r="F20" t="s">
        <v>5</v>
      </c>
      <c r="G20">
        <f t="shared" si="1"/>
        <v>91</v>
      </c>
      <c r="J20" t="str">
        <f t="shared" si="2"/>
        <v>269119</v>
      </c>
      <c r="K20" t="str">
        <f t="shared" si="3"/>
        <v>Muhammad Dzikrul Aditya</v>
      </c>
      <c r="L20" t="s">
        <v>5</v>
      </c>
      <c r="M20" t="s">
        <v>120</v>
      </c>
    </row>
    <row r="21" spans="1:13">
      <c r="A21" t="s">
        <v>24</v>
      </c>
      <c r="B21" t="s">
        <v>5</v>
      </c>
      <c r="C21">
        <v>26</v>
      </c>
      <c r="D21" s="4" t="s">
        <v>140</v>
      </c>
      <c r="E21" t="str">
        <f t="shared" si="0"/>
        <v>Muhammad Marsel Arizky</v>
      </c>
      <c r="F21" t="s">
        <v>5</v>
      </c>
      <c r="G21">
        <f t="shared" si="1"/>
        <v>91</v>
      </c>
      <c r="J21" t="str">
        <f t="shared" si="2"/>
        <v>269120</v>
      </c>
      <c r="K21" t="str">
        <f t="shared" si="3"/>
        <v>Muhammad Marsel Arizky</v>
      </c>
      <c r="L21" t="s">
        <v>5</v>
      </c>
      <c r="M21" t="s">
        <v>120</v>
      </c>
    </row>
    <row r="22" spans="1:13">
      <c r="A22" t="s">
        <v>25</v>
      </c>
      <c r="B22" t="s">
        <v>5</v>
      </c>
      <c r="C22">
        <v>26</v>
      </c>
      <c r="D22" s="3" t="s">
        <v>141</v>
      </c>
      <c r="E22" t="str">
        <f t="shared" si="0"/>
        <v>Muhammad Salman Rajab</v>
      </c>
      <c r="F22" t="s">
        <v>5</v>
      </c>
      <c r="G22">
        <f t="shared" si="1"/>
        <v>91</v>
      </c>
      <c r="J22" t="str">
        <f t="shared" si="2"/>
        <v>269121</v>
      </c>
      <c r="K22" t="str">
        <f t="shared" si="3"/>
        <v>Muhammad Salman Rajab</v>
      </c>
      <c r="L22" t="s">
        <v>5</v>
      </c>
      <c r="M22" t="s">
        <v>120</v>
      </c>
    </row>
    <row r="23" spans="1:13">
      <c r="A23" t="s">
        <v>26</v>
      </c>
      <c r="B23" t="s">
        <v>5</v>
      </c>
      <c r="C23">
        <v>26</v>
      </c>
      <c r="D23" s="4" t="s">
        <v>142</v>
      </c>
      <c r="E23" t="str">
        <f t="shared" si="0"/>
        <v>Muhammad Syahrul Munir</v>
      </c>
      <c r="F23" t="s">
        <v>5</v>
      </c>
      <c r="G23">
        <f t="shared" si="1"/>
        <v>91</v>
      </c>
      <c r="J23" t="str">
        <f t="shared" si="2"/>
        <v>269122</v>
      </c>
      <c r="K23" t="str">
        <f t="shared" si="3"/>
        <v>Muhammad Syahrul Munir</v>
      </c>
      <c r="L23" t="s">
        <v>5</v>
      </c>
      <c r="M23" t="s">
        <v>120</v>
      </c>
    </row>
    <row r="24" spans="1:13">
      <c r="A24" t="s">
        <v>27</v>
      </c>
      <c r="B24" t="s">
        <v>5</v>
      </c>
      <c r="C24">
        <v>26</v>
      </c>
      <c r="D24" s="3" t="s">
        <v>143</v>
      </c>
      <c r="E24" t="str">
        <f t="shared" si="0"/>
        <v>Putri Ayu Lestari</v>
      </c>
      <c r="F24" t="s">
        <v>5</v>
      </c>
      <c r="G24">
        <f t="shared" si="1"/>
        <v>91</v>
      </c>
      <c r="J24" t="str">
        <f t="shared" si="2"/>
        <v>269123</v>
      </c>
      <c r="K24" t="str">
        <f t="shared" si="3"/>
        <v>Putri Ayu Lestari</v>
      </c>
      <c r="L24" t="s">
        <v>5</v>
      </c>
      <c r="M24" t="s">
        <v>120</v>
      </c>
    </row>
    <row r="25" spans="1:13">
      <c r="A25" t="s">
        <v>28</v>
      </c>
      <c r="B25" t="s">
        <v>5</v>
      </c>
      <c r="C25">
        <v>26</v>
      </c>
      <c r="D25" s="4" t="s">
        <v>144</v>
      </c>
      <c r="E25" t="str">
        <f t="shared" si="0"/>
        <v>Rama Nur Praditya</v>
      </c>
      <c r="F25" t="s">
        <v>5</v>
      </c>
      <c r="G25">
        <f t="shared" si="1"/>
        <v>91</v>
      </c>
      <c r="J25" t="str">
        <f t="shared" si="2"/>
        <v>269124</v>
      </c>
      <c r="K25" t="str">
        <f t="shared" si="3"/>
        <v>Rama Nur Praditya</v>
      </c>
      <c r="L25" t="s">
        <v>5</v>
      </c>
      <c r="M25" t="s">
        <v>120</v>
      </c>
    </row>
    <row r="26" spans="1:13">
      <c r="A26" t="s">
        <v>29</v>
      </c>
      <c r="B26" t="s">
        <v>5</v>
      </c>
      <c r="C26">
        <v>26</v>
      </c>
      <c r="D26" s="3" t="s">
        <v>145</v>
      </c>
      <c r="E26" t="str">
        <f t="shared" si="0"/>
        <v>Reihan Fitrah Al Rasyad</v>
      </c>
      <c r="F26" t="s">
        <v>5</v>
      </c>
      <c r="G26">
        <f t="shared" si="1"/>
        <v>91</v>
      </c>
      <c r="J26" t="str">
        <f t="shared" si="2"/>
        <v>269125</v>
      </c>
      <c r="K26" t="str">
        <f t="shared" si="3"/>
        <v>Reihan Fitrah Al Rasyad</v>
      </c>
      <c r="L26" t="s">
        <v>5</v>
      </c>
      <c r="M26" t="s">
        <v>120</v>
      </c>
    </row>
    <row r="27" spans="1:13">
      <c r="A27" t="s">
        <v>30</v>
      </c>
      <c r="B27" t="s">
        <v>5</v>
      </c>
      <c r="C27">
        <v>26</v>
      </c>
      <c r="D27" s="4" t="s">
        <v>146</v>
      </c>
      <c r="E27" t="str">
        <f t="shared" si="0"/>
        <v>Reza Firmansyah Saputra</v>
      </c>
      <c r="F27" t="s">
        <v>5</v>
      </c>
      <c r="G27">
        <f t="shared" si="1"/>
        <v>91</v>
      </c>
      <c r="J27" t="str">
        <f t="shared" si="2"/>
        <v>269126</v>
      </c>
      <c r="K27" t="str">
        <f t="shared" si="3"/>
        <v>Reza Firmansyah Saputra</v>
      </c>
      <c r="L27" t="s">
        <v>5</v>
      </c>
      <c r="M27" t="s">
        <v>120</v>
      </c>
    </row>
    <row r="28" spans="1:13">
      <c r="A28" t="s">
        <v>31</v>
      </c>
      <c r="B28" t="s">
        <v>5</v>
      </c>
      <c r="C28">
        <v>26</v>
      </c>
      <c r="D28" s="3" t="s">
        <v>147</v>
      </c>
      <c r="E28" t="str">
        <f t="shared" si="0"/>
        <v>Safa Eka Miftakhul Jannah</v>
      </c>
      <c r="F28" t="s">
        <v>5</v>
      </c>
      <c r="G28">
        <f t="shared" si="1"/>
        <v>91</v>
      </c>
      <c r="J28" t="str">
        <f t="shared" si="2"/>
        <v>269127</v>
      </c>
      <c r="K28" t="str">
        <f t="shared" si="3"/>
        <v>Safa Eka Miftakhul Jannah</v>
      </c>
      <c r="L28" t="s">
        <v>5</v>
      </c>
      <c r="M28" t="s">
        <v>120</v>
      </c>
    </row>
    <row r="29" spans="1:13">
      <c r="A29" t="s">
        <v>32</v>
      </c>
      <c r="B29" t="s">
        <v>5</v>
      </c>
      <c r="C29">
        <v>26</v>
      </c>
      <c r="D29" s="3" t="s">
        <v>148</v>
      </c>
      <c r="E29" t="str">
        <f t="shared" si="0"/>
        <v>Siti Aisyah</v>
      </c>
      <c r="F29" t="s">
        <v>5</v>
      </c>
      <c r="G29">
        <f t="shared" si="1"/>
        <v>91</v>
      </c>
      <c r="J29" t="str">
        <f t="shared" si="2"/>
        <v>269128</v>
      </c>
      <c r="K29" t="str">
        <f t="shared" si="3"/>
        <v>Siti Aisyah</v>
      </c>
      <c r="L29" t="s">
        <v>5</v>
      </c>
      <c r="M29" t="s">
        <v>120</v>
      </c>
    </row>
    <row r="30" spans="1:13">
      <c r="A30" t="s">
        <v>33</v>
      </c>
      <c r="B30" t="s">
        <v>34</v>
      </c>
      <c r="C30">
        <v>26</v>
      </c>
      <c r="D30" s="4" t="s">
        <v>121</v>
      </c>
      <c r="E30" t="str">
        <f t="shared" si="0"/>
        <v>Aldira Dwi Lingga</v>
      </c>
      <c r="F30" t="s">
        <v>34</v>
      </c>
      <c r="G30">
        <f t="shared" si="1"/>
        <v>92</v>
      </c>
      <c r="J30" t="str">
        <f t="shared" si="2"/>
        <v>269201</v>
      </c>
      <c r="K30" t="str">
        <f t="shared" si="3"/>
        <v>Aldira Dwi Lingga</v>
      </c>
      <c r="L30" t="s">
        <v>34</v>
      </c>
      <c r="M30" t="s">
        <v>120</v>
      </c>
    </row>
    <row r="31" spans="1:13">
      <c r="A31" t="s">
        <v>35</v>
      </c>
      <c r="B31" t="s">
        <v>34</v>
      </c>
      <c r="C31">
        <v>26</v>
      </c>
      <c r="D31" s="4" t="s">
        <v>122</v>
      </c>
      <c r="E31" t="str">
        <f t="shared" si="0"/>
        <v>Alfino Ardiansyah</v>
      </c>
      <c r="F31" t="s">
        <v>34</v>
      </c>
      <c r="G31">
        <f t="shared" si="1"/>
        <v>92</v>
      </c>
      <c r="J31" t="str">
        <f t="shared" si="2"/>
        <v>269202</v>
      </c>
      <c r="K31" t="str">
        <f t="shared" si="3"/>
        <v>Alfino Ardiansyah</v>
      </c>
      <c r="L31" t="s">
        <v>34</v>
      </c>
      <c r="M31" t="s">
        <v>120</v>
      </c>
    </row>
    <row r="32" spans="1:13">
      <c r="A32" t="s">
        <v>36</v>
      </c>
      <c r="B32" t="s">
        <v>34</v>
      </c>
      <c r="C32">
        <v>26</v>
      </c>
      <c r="D32" s="4" t="s">
        <v>123</v>
      </c>
      <c r="E32" t="str">
        <f t="shared" si="0"/>
        <v>Alya Salmaghani Saputri</v>
      </c>
      <c r="F32" t="s">
        <v>34</v>
      </c>
      <c r="G32">
        <f t="shared" si="1"/>
        <v>92</v>
      </c>
      <c r="J32" t="str">
        <f t="shared" si="2"/>
        <v>269203</v>
      </c>
      <c r="K32" t="str">
        <f t="shared" si="3"/>
        <v>Alya Salmaghani Saputri</v>
      </c>
      <c r="L32" t="s">
        <v>34</v>
      </c>
      <c r="M32" t="s">
        <v>120</v>
      </c>
    </row>
    <row r="33" spans="1:13">
      <c r="A33" t="s">
        <v>37</v>
      </c>
      <c r="B33" t="s">
        <v>34</v>
      </c>
      <c r="C33">
        <v>26</v>
      </c>
      <c r="D33" s="4" t="s">
        <v>124</v>
      </c>
      <c r="E33" t="str">
        <f t="shared" si="0"/>
        <v>Aprilia Aurita Inerekhu</v>
      </c>
      <c r="F33" t="s">
        <v>34</v>
      </c>
      <c r="G33">
        <f t="shared" si="1"/>
        <v>92</v>
      </c>
      <c r="J33" t="str">
        <f t="shared" si="2"/>
        <v>269204</v>
      </c>
      <c r="K33" t="str">
        <f t="shared" si="3"/>
        <v>Aprilia Aurita Inerekhu</v>
      </c>
      <c r="L33" t="s">
        <v>34</v>
      </c>
      <c r="M33" t="s">
        <v>120</v>
      </c>
    </row>
    <row r="34" spans="1:13">
      <c r="A34" t="s">
        <v>38</v>
      </c>
      <c r="B34" t="s">
        <v>34</v>
      </c>
      <c r="C34">
        <v>26</v>
      </c>
      <c r="D34" s="4" t="s">
        <v>125</v>
      </c>
      <c r="E34" t="str">
        <f t="shared" si="0"/>
        <v>Cantika Nayfila Nur Madina</v>
      </c>
      <c r="F34" t="s">
        <v>34</v>
      </c>
      <c r="G34">
        <f t="shared" si="1"/>
        <v>92</v>
      </c>
      <c r="J34" t="str">
        <f t="shared" si="2"/>
        <v>269205</v>
      </c>
      <c r="K34" t="str">
        <f t="shared" si="3"/>
        <v>Cantika Nayfila Nur Madina</v>
      </c>
      <c r="L34" t="s">
        <v>34</v>
      </c>
      <c r="M34" t="s">
        <v>120</v>
      </c>
    </row>
    <row r="35" spans="1:13">
      <c r="A35" t="s">
        <v>39</v>
      </c>
      <c r="B35" t="s">
        <v>34</v>
      </c>
      <c r="C35">
        <v>26</v>
      </c>
      <c r="D35" s="4" t="s">
        <v>126</v>
      </c>
      <c r="E35" t="str">
        <f t="shared" si="0"/>
        <v>Dio Rezky Aditya Pratama</v>
      </c>
      <c r="F35" t="s">
        <v>34</v>
      </c>
      <c r="G35">
        <f t="shared" si="1"/>
        <v>92</v>
      </c>
      <c r="J35" t="str">
        <f t="shared" si="2"/>
        <v>269206</v>
      </c>
      <c r="K35" t="str">
        <f t="shared" si="3"/>
        <v>Dio Rezky Aditya Pratama</v>
      </c>
      <c r="L35" t="s">
        <v>34</v>
      </c>
      <c r="M35" t="s">
        <v>120</v>
      </c>
    </row>
    <row r="36" spans="1:13">
      <c r="A36" t="s">
        <v>40</v>
      </c>
      <c r="B36" t="s">
        <v>34</v>
      </c>
      <c r="C36">
        <v>26</v>
      </c>
      <c r="D36" s="4" t="s">
        <v>127</v>
      </c>
      <c r="E36" t="str">
        <f t="shared" si="0"/>
        <v>Farida Ainun Nisa</v>
      </c>
      <c r="F36" t="s">
        <v>34</v>
      </c>
      <c r="G36">
        <f t="shared" si="1"/>
        <v>92</v>
      </c>
      <c r="J36" t="str">
        <f t="shared" si="2"/>
        <v>269207</v>
      </c>
      <c r="K36" t="str">
        <f t="shared" si="3"/>
        <v>Farida Ainun Nisa</v>
      </c>
      <c r="L36" t="s">
        <v>34</v>
      </c>
      <c r="M36" t="s">
        <v>120</v>
      </c>
    </row>
    <row r="37" spans="1:13">
      <c r="A37" t="s">
        <v>41</v>
      </c>
      <c r="B37" t="s">
        <v>34</v>
      </c>
      <c r="C37">
        <v>26</v>
      </c>
      <c r="D37" s="4" t="s">
        <v>128</v>
      </c>
      <c r="E37" t="str">
        <f t="shared" si="0"/>
        <v>Fitria Zahira</v>
      </c>
      <c r="F37" t="s">
        <v>34</v>
      </c>
      <c r="G37">
        <f t="shared" si="1"/>
        <v>92</v>
      </c>
      <c r="J37" t="str">
        <f t="shared" si="2"/>
        <v>269208</v>
      </c>
      <c r="K37" t="str">
        <f t="shared" si="3"/>
        <v>Fitria Zahira</v>
      </c>
      <c r="L37" t="s">
        <v>34</v>
      </c>
      <c r="M37" t="s">
        <v>120</v>
      </c>
    </row>
    <row r="38" spans="1:13">
      <c r="A38" t="s">
        <v>42</v>
      </c>
      <c r="B38" t="s">
        <v>34</v>
      </c>
      <c r="C38">
        <v>26</v>
      </c>
      <c r="D38" s="4" t="s">
        <v>129</v>
      </c>
      <c r="E38" t="str">
        <f t="shared" si="0"/>
        <v>Ineda Nur Chamelia</v>
      </c>
      <c r="F38" t="s">
        <v>34</v>
      </c>
      <c r="G38">
        <f t="shared" si="1"/>
        <v>92</v>
      </c>
      <c r="J38" t="str">
        <f t="shared" si="2"/>
        <v>269209</v>
      </c>
      <c r="K38" t="str">
        <f t="shared" si="3"/>
        <v>Ineda Nur Chamelia</v>
      </c>
      <c r="L38" t="s">
        <v>34</v>
      </c>
      <c r="M38" t="s">
        <v>120</v>
      </c>
    </row>
    <row r="39" spans="1:13">
      <c r="A39" t="s">
        <v>43</v>
      </c>
      <c r="B39" t="s">
        <v>34</v>
      </c>
      <c r="C39">
        <v>26</v>
      </c>
      <c r="D39" s="4" t="s">
        <v>130</v>
      </c>
      <c r="E39" t="str">
        <f t="shared" si="0"/>
        <v>Irvina Putri Hafidz</v>
      </c>
      <c r="F39" t="s">
        <v>34</v>
      </c>
      <c r="G39">
        <f t="shared" si="1"/>
        <v>92</v>
      </c>
      <c r="J39" t="str">
        <f t="shared" si="2"/>
        <v>269210</v>
      </c>
      <c r="K39" t="str">
        <f t="shared" si="3"/>
        <v>Irvina Putri Hafidz</v>
      </c>
      <c r="L39" t="s">
        <v>34</v>
      </c>
      <c r="M39" t="s">
        <v>120</v>
      </c>
    </row>
    <row r="40" spans="1:13">
      <c r="A40" t="s">
        <v>44</v>
      </c>
      <c r="B40" t="s">
        <v>34</v>
      </c>
      <c r="C40">
        <v>26</v>
      </c>
      <c r="D40" s="4" t="s">
        <v>131</v>
      </c>
      <c r="E40" t="str">
        <f t="shared" si="0"/>
        <v>Kalistiana Sinta Sari</v>
      </c>
      <c r="F40" t="s">
        <v>34</v>
      </c>
      <c r="G40">
        <f t="shared" si="1"/>
        <v>92</v>
      </c>
      <c r="J40" t="str">
        <f t="shared" si="2"/>
        <v>269211</v>
      </c>
      <c r="K40" t="str">
        <f t="shared" si="3"/>
        <v>Kalistiana Sinta Sari</v>
      </c>
      <c r="L40" t="s">
        <v>34</v>
      </c>
      <c r="M40" t="s">
        <v>120</v>
      </c>
    </row>
    <row r="41" spans="1:13">
      <c r="A41" t="s">
        <v>45</v>
      </c>
      <c r="B41" t="s">
        <v>34</v>
      </c>
      <c r="C41">
        <v>26</v>
      </c>
      <c r="D41" s="4" t="s">
        <v>132</v>
      </c>
      <c r="E41" t="str">
        <f t="shared" si="0"/>
        <v>Khanziano Dhava Novandra</v>
      </c>
      <c r="F41" t="s">
        <v>34</v>
      </c>
      <c r="G41">
        <f t="shared" si="1"/>
        <v>92</v>
      </c>
      <c r="J41" t="str">
        <f t="shared" si="2"/>
        <v>269212</v>
      </c>
      <c r="K41" t="str">
        <f t="shared" si="3"/>
        <v>Khanziano Dhava Novandra</v>
      </c>
      <c r="L41" t="s">
        <v>34</v>
      </c>
      <c r="M41" t="s">
        <v>120</v>
      </c>
    </row>
    <row r="42" spans="1:13">
      <c r="A42" t="s">
        <v>46</v>
      </c>
      <c r="B42" t="s">
        <v>34</v>
      </c>
      <c r="C42">
        <v>26</v>
      </c>
      <c r="D42" s="4" t="s">
        <v>133</v>
      </c>
      <c r="E42" t="str">
        <f t="shared" si="0"/>
        <v>Maftuh Fadhil Mubarok</v>
      </c>
      <c r="F42" t="s">
        <v>34</v>
      </c>
      <c r="G42">
        <f t="shared" si="1"/>
        <v>92</v>
      </c>
      <c r="J42" t="str">
        <f t="shared" si="2"/>
        <v>269213</v>
      </c>
      <c r="K42" t="str">
        <f t="shared" si="3"/>
        <v>Maftuh Fadhil Mubarok</v>
      </c>
      <c r="L42" t="s">
        <v>34</v>
      </c>
      <c r="M42" t="s">
        <v>120</v>
      </c>
    </row>
    <row r="43" spans="1:13">
      <c r="A43" t="s">
        <v>47</v>
      </c>
      <c r="B43" t="s">
        <v>34</v>
      </c>
      <c r="C43">
        <v>26</v>
      </c>
      <c r="D43" s="4" t="s">
        <v>134</v>
      </c>
      <c r="E43" t="str">
        <f t="shared" si="0"/>
        <v>Mirza Ardiansyah</v>
      </c>
      <c r="F43" t="s">
        <v>34</v>
      </c>
      <c r="G43">
        <f t="shared" si="1"/>
        <v>92</v>
      </c>
      <c r="J43" t="str">
        <f t="shared" si="2"/>
        <v>269214</v>
      </c>
      <c r="K43" t="str">
        <f t="shared" si="3"/>
        <v>Mirza Ardiansyah</v>
      </c>
      <c r="L43" t="s">
        <v>34</v>
      </c>
      <c r="M43" t="s">
        <v>120</v>
      </c>
    </row>
    <row r="44" spans="1:13">
      <c r="A44" t="s">
        <v>48</v>
      </c>
      <c r="B44" t="s">
        <v>34</v>
      </c>
      <c r="C44">
        <v>26</v>
      </c>
      <c r="D44" s="4" t="s">
        <v>135</v>
      </c>
      <c r="E44" t="str">
        <f t="shared" si="0"/>
        <v>Mochamad Afan Maulana</v>
      </c>
      <c r="F44" t="s">
        <v>34</v>
      </c>
      <c r="G44">
        <f t="shared" si="1"/>
        <v>92</v>
      </c>
      <c r="J44" t="str">
        <f t="shared" si="2"/>
        <v>269215</v>
      </c>
      <c r="K44" t="str">
        <f t="shared" si="3"/>
        <v>Mochamad Afan Maulana</v>
      </c>
      <c r="L44" t="s">
        <v>34</v>
      </c>
      <c r="M44" t="s">
        <v>120</v>
      </c>
    </row>
    <row r="45" spans="1:13">
      <c r="A45" t="s">
        <v>49</v>
      </c>
      <c r="B45" t="s">
        <v>34</v>
      </c>
      <c r="C45">
        <v>26</v>
      </c>
      <c r="D45" s="4" t="s">
        <v>136</v>
      </c>
      <c r="E45" t="str">
        <f t="shared" si="0"/>
        <v>Muhamad Alevan Wahyudi</v>
      </c>
      <c r="F45" t="s">
        <v>34</v>
      </c>
      <c r="G45">
        <f t="shared" si="1"/>
        <v>92</v>
      </c>
      <c r="J45" t="str">
        <f t="shared" si="2"/>
        <v>269216</v>
      </c>
      <c r="K45" t="str">
        <f t="shared" si="3"/>
        <v>Muhamad Alevan Wahyudi</v>
      </c>
      <c r="L45" t="s">
        <v>34</v>
      </c>
      <c r="M45" t="s">
        <v>120</v>
      </c>
    </row>
    <row r="46" spans="1:13">
      <c r="A46" t="s">
        <v>50</v>
      </c>
      <c r="B46" t="s">
        <v>34</v>
      </c>
      <c r="C46">
        <v>26</v>
      </c>
      <c r="D46" s="4" t="s">
        <v>137</v>
      </c>
      <c r="E46" t="str">
        <f t="shared" si="0"/>
        <v>Muhamad Ivan Timur Wardana</v>
      </c>
      <c r="F46" t="s">
        <v>34</v>
      </c>
      <c r="G46">
        <f t="shared" si="1"/>
        <v>92</v>
      </c>
      <c r="J46" t="str">
        <f t="shared" si="2"/>
        <v>269217</v>
      </c>
      <c r="K46" t="str">
        <f t="shared" si="3"/>
        <v>Muhamad Ivan Timur Wardana</v>
      </c>
      <c r="L46" t="s">
        <v>34</v>
      </c>
      <c r="M46" t="s">
        <v>120</v>
      </c>
    </row>
    <row r="47" spans="1:13">
      <c r="A47" t="s">
        <v>51</v>
      </c>
      <c r="B47" t="s">
        <v>34</v>
      </c>
      <c r="C47">
        <v>26</v>
      </c>
      <c r="D47" s="4" t="s">
        <v>138</v>
      </c>
      <c r="E47" t="str">
        <f t="shared" si="0"/>
        <v>Muhamad Nafiz Alif Pratama</v>
      </c>
      <c r="F47" t="s">
        <v>34</v>
      </c>
      <c r="G47">
        <f t="shared" si="1"/>
        <v>92</v>
      </c>
      <c r="J47" t="str">
        <f t="shared" si="2"/>
        <v>269218</v>
      </c>
      <c r="K47" t="str">
        <f t="shared" si="3"/>
        <v>Muhamad Nafiz Alif Pratama</v>
      </c>
      <c r="L47" t="s">
        <v>34</v>
      </c>
      <c r="M47" t="s">
        <v>120</v>
      </c>
    </row>
    <row r="48" spans="1:13">
      <c r="A48" t="s">
        <v>52</v>
      </c>
      <c r="B48" t="s">
        <v>34</v>
      </c>
      <c r="C48">
        <v>26</v>
      </c>
      <c r="D48" s="4" t="s">
        <v>139</v>
      </c>
      <c r="E48" t="str">
        <f t="shared" si="0"/>
        <v>Muhammad Dimas Wijayanto</v>
      </c>
      <c r="F48" t="s">
        <v>34</v>
      </c>
      <c r="G48">
        <f t="shared" si="1"/>
        <v>92</v>
      </c>
      <c r="J48" t="str">
        <f t="shared" si="2"/>
        <v>269219</v>
      </c>
      <c r="K48" t="str">
        <f t="shared" si="3"/>
        <v>Muhammad Dimas Wijayanto</v>
      </c>
      <c r="L48" t="s">
        <v>34</v>
      </c>
      <c r="M48" t="s">
        <v>120</v>
      </c>
    </row>
    <row r="49" spans="1:13">
      <c r="A49" t="s">
        <v>53</v>
      </c>
      <c r="B49" t="s">
        <v>34</v>
      </c>
      <c r="C49">
        <v>26</v>
      </c>
      <c r="D49" s="4" t="s">
        <v>140</v>
      </c>
      <c r="E49" t="str">
        <f t="shared" si="0"/>
        <v>Muhammad Febrianto</v>
      </c>
      <c r="F49" t="s">
        <v>34</v>
      </c>
      <c r="G49">
        <f t="shared" si="1"/>
        <v>92</v>
      </c>
      <c r="J49" t="str">
        <f t="shared" si="2"/>
        <v>269220</v>
      </c>
      <c r="K49" t="str">
        <f t="shared" si="3"/>
        <v>Muhammad Febrianto</v>
      </c>
      <c r="L49" t="s">
        <v>34</v>
      </c>
      <c r="M49" t="s">
        <v>120</v>
      </c>
    </row>
    <row r="50" spans="1:13">
      <c r="A50" t="s">
        <v>54</v>
      </c>
      <c r="B50" t="s">
        <v>34</v>
      </c>
      <c r="C50">
        <v>26</v>
      </c>
      <c r="D50" s="4" t="s">
        <v>141</v>
      </c>
      <c r="E50" t="str">
        <f t="shared" si="0"/>
        <v>Muhammad Zidan Al Fathir</v>
      </c>
      <c r="F50" t="s">
        <v>34</v>
      </c>
      <c r="G50">
        <f t="shared" si="1"/>
        <v>92</v>
      </c>
      <c r="J50" t="str">
        <f t="shared" si="2"/>
        <v>269221</v>
      </c>
      <c r="K50" t="str">
        <f t="shared" si="3"/>
        <v>Muhammad Zidan Al Fathir</v>
      </c>
      <c r="L50" t="s">
        <v>34</v>
      </c>
      <c r="M50" t="s">
        <v>120</v>
      </c>
    </row>
    <row r="51" spans="1:13">
      <c r="A51" t="s">
        <v>55</v>
      </c>
      <c r="B51" t="s">
        <v>34</v>
      </c>
      <c r="C51">
        <v>26</v>
      </c>
      <c r="D51" s="4" t="s">
        <v>142</v>
      </c>
      <c r="E51" t="str">
        <f t="shared" si="0"/>
        <v>Nur Indah Sari Dwi Ningsih</v>
      </c>
      <c r="F51" t="s">
        <v>34</v>
      </c>
      <c r="G51">
        <f t="shared" si="1"/>
        <v>92</v>
      </c>
      <c r="J51" t="str">
        <f t="shared" si="2"/>
        <v>269222</v>
      </c>
      <c r="K51" t="str">
        <f t="shared" si="3"/>
        <v>Nur Indah Sari Dwi Ningsih</v>
      </c>
      <c r="L51" t="s">
        <v>34</v>
      </c>
      <c r="M51" t="s">
        <v>120</v>
      </c>
    </row>
    <row r="52" spans="1:13">
      <c r="A52" t="s">
        <v>56</v>
      </c>
      <c r="B52" t="s">
        <v>34</v>
      </c>
      <c r="C52">
        <v>26</v>
      </c>
      <c r="D52" s="4" t="s">
        <v>143</v>
      </c>
      <c r="E52" t="str">
        <f t="shared" si="0"/>
        <v>Nurrafa Putra Ilham</v>
      </c>
      <c r="F52" t="s">
        <v>34</v>
      </c>
      <c r="G52">
        <f t="shared" si="1"/>
        <v>92</v>
      </c>
      <c r="J52" t="str">
        <f t="shared" si="2"/>
        <v>269223</v>
      </c>
      <c r="K52" t="str">
        <f t="shared" si="3"/>
        <v>Nurrafa Putra Ilham</v>
      </c>
      <c r="L52" t="s">
        <v>34</v>
      </c>
      <c r="M52" t="s">
        <v>120</v>
      </c>
    </row>
    <row r="53" spans="1:13">
      <c r="A53" t="s">
        <v>57</v>
      </c>
      <c r="B53" t="s">
        <v>34</v>
      </c>
      <c r="C53">
        <v>26</v>
      </c>
      <c r="D53" s="4" t="s">
        <v>144</v>
      </c>
      <c r="E53" t="str">
        <f t="shared" si="0"/>
        <v>Safa Atin Nisa</v>
      </c>
      <c r="F53" t="s">
        <v>34</v>
      </c>
      <c r="G53">
        <f t="shared" si="1"/>
        <v>92</v>
      </c>
      <c r="J53" t="str">
        <f t="shared" si="2"/>
        <v>269224</v>
      </c>
      <c r="K53" t="str">
        <f t="shared" si="3"/>
        <v>Safa Atin Nisa</v>
      </c>
      <c r="L53" t="s">
        <v>34</v>
      </c>
      <c r="M53" t="s">
        <v>120</v>
      </c>
    </row>
    <row r="54" spans="1:13">
      <c r="A54" t="s">
        <v>58</v>
      </c>
      <c r="B54" t="s">
        <v>34</v>
      </c>
      <c r="C54">
        <v>26</v>
      </c>
      <c r="D54" s="4" t="s">
        <v>145</v>
      </c>
      <c r="E54" t="str">
        <f t="shared" si="0"/>
        <v>Sukma Aulia Qurnianing Fitroh</v>
      </c>
      <c r="F54" t="s">
        <v>34</v>
      </c>
      <c r="G54">
        <f t="shared" si="1"/>
        <v>92</v>
      </c>
      <c r="J54" t="str">
        <f t="shared" si="2"/>
        <v>269225</v>
      </c>
      <c r="K54" t="str">
        <f t="shared" si="3"/>
        <v>Sukma Aulia Qurnianing Fitroh</v>
      </c>
      <c r="L54" t="s">
        <v>34</v>
      </c>
      <c r="M54" t="s">
        <v>120</v>
      </c>
    </row>
    <row r="55" spans="1:13">
      <c r="A55" t="s">
        <v>59</v>
      </c>
      <c r="B55" t="s">
        <v>34</v>
      </c>
      <c r="C55">
        <v>26</v>
      </c>
      <c r="D55" s="4" t="s">
        <v>146</v>
      </c>
      <c r="E55" t="str">
        <f t="shared" si="0"/>
        <v>Tegar Putra Hadiansyah</v>
      </c>
      <c r="F55" t="s">
        <v>34</v>
      </c>
      <c r="G55">
        <f t="shared" si="1"/>
        <v>92</v>
      </c>
      <c r="J55" t="str">
        <f t="shared" si="2"/>
        <v>269226</v>
      </c>
      <c r="K55" t="str">
        <f t="shared" si="3"/>
        <v>Tegar Putra Hadiansyah</v>
      </c>
      <c r="L55" t="s">
        <v>34</v>
      </c>
      <c r="M55" t="s">
        <v>120</v>
      </c>
    </row>
    <row r="56" spans="1:13">
      <c r="A56" t="s">
        <v>60</v>
      </c>
      <c r="B56" t="s">
        <v>34</v>
      </c>
      <c r="C56">
        <v>26</v>
      </c>
      <c r="D56" s="4" t="s">
        <v>147</v>
      </c>
      <c r="E56" t="str">
        <f t="shared" si="0"/>
        <v>Tessa Ilya Mudholifa</v>
      </c>
      <c r="F56" t="s">
        <v>34</v>
      </c>
      <c r="G56">
        <f t="shared" si="1"/>
        <v>92</v>
      </c>
      <c r="J56" t="str">
        <f t="shared" si="2"/>
        <v>269227</v>
      </c>
      <c r="K56" t="str">
        <f t="shared" si="3"/>
        <v>Tessa Ilya Mudholifa</v>
      </c>
      <c r="L56" t="s">
        <v>34</v>
      </c>
      <c r="M56" t="s">
        <v>120</v>
      </c>
    </row>
    <row r="57" spans="1:13">
      <c r="A57" t="s">
        <v>61</v>
      </c>
      <c r="B57" t="s">
        <v>34</v>
      </c>
      <c r="C57">
        <v>26</v>
      </c>
      <c r="D57" s="4" t="s">
        <v>148</v>
      </c>
      <c r="E57" t="str">
        <f t="shared" si="0"/>
        <v>Viky Ari Rakhman</v>
      </c>
      <c r="F57" t="s">
        <v>34</v>
      </c>
      <c r="G57">
        <f t="shared" si="1"/>
        <v>92</v>
      </c>
      <c r="J57" t="str">
        <f t="shared" si="2"/>
        <v>269228</v>
      </c>
      <c r="K57" t="str">
        <f t="shared" si="3"/>
        <v>Viky Ari Rakhman</v>
      </c>
      <c r="L57" t="s">
        <v>34</v>
      </c>
      <c r="M57" t="s">
        <v>120</v>
      </c>
    </row>
    <row r="58" spans="1:13">
      <c r="A58" t="s">
        <v>62</v>
      </c>
      <c r="B58" t="s">
        <v>63</v>
      </c>
      <c r="C58">
        <v>26</v>
      </c>
      <c r="D58" s="4" t="s">
        <v>121</v>
      </c>
      <c r="E58" t="str">
        <f t="shared" si="0"/>
        <v>Ahit Na Hakim</v>
      </c>
      <c r="F58" t="s">
        <v>63</v>
      </c>
      <c r="G58">
        <f t="shared" si="1"/>
        <v>93</v>
      </c>
      <c r="J58" t="str">
        <f t="shared" si="2"/>
        <v>269301</v>
      </c>
      <c r="K58" t="str">
        <f t="shared" si="3"/>
        <v>Ahit Na Hakim</v>
      </c>
      <c r="L58" t="s">
        <v>63</v>
      </c>
      <c r="M58" t="s">
        <v>120</v>
      </c>
    </row>
    <row r="59" spans="1:13">
      <c r="A59" t="s">
        <v>64</v>
      </c>
      <c r="B59" t="s">
        <v>63</v>
      </c>
      <c r="C59">
        <v>26</v>
      </c>
      <c r="D59" s="4" t="s">
        <v>122</v>
      </c>
      <c r="E59" t="str">
        <f t="shared" si="0"/>
        <v>Ahmad Al Bakti Rinza Juni</v>
      </c>
      <c r="F59" t="s">
        <v>63</v>
      </c>
      <c r="G59">
        <f t="shared" si="1"/>
        <v>93</v>
      </c>
      <c r="J59" t="str">
        <f t="shared" si="2"/>
        <v>269302</v>
      </c>
      <c r="K59" t="str">
        <f t="shared" si="3"/>
        <v>Ahmad Al Bakti Rinza Juni</v>
      </c>
      <c r="L59" t="s">
        <v>63</v>
      </c>
      <c r="M59" t="s">
        <v>120</v>
      </c>
    </row>
    <row r="60" spans="1:13">
      <c r="A60" t="s">
        <v>65</v>
      </c>
      <c r="B60" t="s">
        <v>63</v>
      </c>
      <c r="C60">
        <v>26</v>
      </c>
      <c r="D60" s="4" t="s">
        <v>123</v>
      </c>
      <c r="E60" t="str">
        <f t="shared" si="0"/>
        <v>Ahmad Faiqul Himam</v>
      </c>
      <c r="F60" t="s">
        <v>63</v>
      </c>
      <c r="G60">
        <f t="shared" si="1"/>
        <v>93</v>
      </c>
      <c r="J60" t="str">
        <f t="shared" si="2"/>
        <v>269303</v>
      </c>
      <c r="K60" t="str">
        <f t="shared" si="3"/>
        <v>Ahmad Faiqul Himam</v>
      </c>
      <c r="L60" t="s">
        <v>63</v>
      </c>
      <c r="M60" t="s">
        <v>120</v>
      </c>
    </row>
    <row r="61" spans="1:13">
      <c r="A61" t="s">
        <v>66</v>
      </c>
      <c r="B61" t="s">
        <v>63</v>
      </c>
      <c r="C61">
        <v>26</v>
      </c>
      <c r="D61" s="4" t="s">
        <v>124</v>
      </c>
      <c r="E61" t="str">
        <f t="shared" si="0"/>
        <v>Aisyah</v>
      </c>
      <c r="F61" t="s">
        <v>63</v>
      </c>
      <c r="G61">
        <f t="shared" si="1"/>
        <v>93</v>
      </c>
      <c r="J61" t="str">
        <f t="shared" si="2"/>
        <v>269304</v>
      </c>
      <c r="K61" t="str">
        <f t="shared" si="3"/>
        <v>Aisyah</v>
      </c>
      <c r="L61" t="s">
        <v>63</v>
      </c>
      <c r="M61" t="s">
        <v>120</v>
      </c>
    </row>
    <row r="62" spans="1:13">
      <c r="A62" t="s">
        <v>67</v>
      </c>
      <c r="B62" t="s">
        <v>63</v>
      </c>
      <c r="C62">
        <v>26</v>
      </c>
      <c r="D62" s="4" t="s">
        <v>125</v>
      </c>
      <c r="E62" t="str">
        <f t="shared" si="0"/>
        <v>Aldo Elgi Pratama</v>
      </c>
      <c r="F62" t="s">
        <v>63</v>
      </c>
      <c r="G62">
        <f t="shared" si="1"/>
        <v>93</v>
      </c>
      <c r="J62" t="str">
        <f t="shared" si="2"/>
        <v>269305</v>
      </c>
      <c r="K62" t="str">
        <f t="shared" si="3"/>
        <v>Aldo Elgi Pratama</v>
      </c>
      <c r="L62" t="s">
        <v>63</v>
      </c>
      <c r="M62" t="s">
        <v>120</v>
      </c>
    </row>
    <row r="63" spans="1:13">
      <c r="A63" t="s">
        <v>68</v>
      </c>
      <c r="B63" t="s">
        <v>63</v>
      </c>
      <c r="C63">
        <v>26</v>
      </c>
      <c r="D63" s="4" t="s">
        <v>126</v>
      </c>
      <c r="E63" t="str">
        <f t="shared" si="0"/>
        <v>Andre Dwi Mahendra</v>
      </c>
      <c r="F63" t="s">
        <v>63</v>
      </c>
      <c r="G63">
        <f t="shared" si="1"/>
        <v>93</v>
      </c>
      <c r="J63" t="str">
        <f t="shared" si="2"/>
        <v>269306</v>
      </c>
      <c r="K63" t="str">
        <f t="shared" si="3"/>
        <v>Andre Dwi Mahendra</v>
      </c>
      <c r="L63" t="s">
        <v>63</v>
      </c>
      <c r="M63" t="s">
        <v>120</v>
      </c>
    </row>
    <row r="64" spans="1:13">
      <c r="A64" t="s">
        <v>69</v>
      </c>
      <c r="B64" t="s">
        <v>63</v>
      </c>
      <c r="C64">
        <v>26</v>
      </c>
      <c r="D64" s="4" t="s">
        <v>127</v>
      </c>
      <c r="E64" t="str">
        <f t="shared" si="0"/>
        <v>Chesil Aulia Prastia</v>
      </c>
      <c r="F64" t="s">
        <v>63</v>
      </c>
      <c r="G64">
        <f t="shared" si="1"/>
        <v>93</v>
      </c>
      <c r="J64" t="str">
        <f t="shared" si="2"/>
        <v>269307</v>
      </c>
      <c r="K64" t="str">
        <f t="shared" si="3"/>
        <v>Chesil Aulia Prastia</v>
      </c>
      <c r="L64" t="s">
        <v>63</v>
      </c>
      <c r="M64" t="s">
        <v>120</v>
      </c>
    </row>
    <row r="65" spans="1:13">
      <c r="A65" t="s">
        <v>70</v>
      </c>
      <c r="B65" t="s">
        <v>63</v>
      </c>
      <c r="C65">
        <v>26</v>
      </c>
      <c r="D65" s="4" t="s">
        <v>128</v>
      </c>
      <c r="E65" t="str">
        <f t="shared" si="0"/>
        <v>Chika Amalia Putri Utama</v>
      </c>
      <c r="F65" t="s">
        <v>63</v>
      </c>
      <c r="G65">
        <f t="shared" si="1"/>
        <v>93</v>
      </c>
      <c r="J65" t="str">
        <f t="shared" si="2"/>
        <v>269308</v>
      </c>
      <c r="K65" t="str">
        <f t="shared" si="3"/>
        <v>Chika Amalia Putri Utama</v>
      </c>
      <c r="L65" t="s">
        <v>63</v>
      </c>
      <c r="M65" t="s">
        <v>120</v>
      </c>
    </row>
    <row r="66" spans="1:13">
      <c r="A66" t="s">
        <v>71</v>
      </c>
      <c r="B66" t="s">
        <v>63</v>
      </c>
      <c r="C66">
        <v>26</v>
      </c>
      <c r="D66" s="4" t="s">
        <v>129</v>
      </c>
      <c r="E66" t="str">
        <f t="shared" si="0"/>
        <v>Donny</v>
      </c>
      <c r="F66" t="s">
        <v>63</v>
      </c>
      <c r="G66">
        <f t="shared" si="1"/>
        <v>93</v>
      </c>
      <c r="J66" t="str">
        <f t="shared" si="2"/>
        <v>269309</v>
      </c>
      <c r="K66" t="str">
        <f t="shared" si="3"/>
        <v>Donny</v>
      </c>
      <c r="L66" t="s">
        <v>63</v>
      </c>
      <c r="M66" t="s">
        <v>120</v>
      </c>
    </row>
    <row r="67" spans="1:13">
      <c r="A67" t="s">
        <v>72</v>
      </c>
      <c r="B67" t="s">
        <v>63</v>
      </c>
      <c r="C67">
        <v>26</v>
      </c>
      <c r="D67" s="4" t="s">
        <v>130</v>
      </c>
      <c r="E67" t="str">
        <f t="shared" ref="E67:E112" si="4">PROPER(A67)</f>
        <v>Eka Candra Kurnia Sari</v>
      </c>
      <c r="F67" t="s">
        <v>63</v>
      </c>
      <c r="G67">
        <f t="shared" ref="G67:G112" si="5">IF(F67="9A",91,IF(F67="9B",92,IF(F67="9C",93,IF(F67="9D",94,""))))</f>
        <v>93</v>
      </c>
      <c r="J67" t="str">
        <f t="shared" ref="J67:J112" si="6">C67&amp;G67&amp;D67</f>
        <v>269310</v>
      </c>
      <c r="K67" t="str">
        <f t="shared" ref="K67:K112" si="7">E67</f>
        <v>Eka Candra Kurnia Sari</v>
      </c>
      <c r="L67" t="s">
        <v>63</v>
      </c>
      <c r="M67" t="s">
        <v>120</v>
      </c>
    </row>
    <row r="68" spans="1:13">
      <c r="A68" t="s">
        <v>73</v>
      </c>
      <c r="B68" t="s">
        <v>63</v>
      </c>
      <c r="C68">
        <v>26</v>
      </c>
      <c r="D68" s="4" t="s">
        <v>131</v>
      </c>
      <c r="E68" t="str">
        <f t="shared" si="4"/>
        <v>Hurul Fausta Salsabillah</v>
      </c>
      <c r="F68" t="s">
        <v>63</v>
      </c>
      <c r="G68">
        <f t="shared" si="5"/>
        <v>93</v>
      </c>
      <c r="J68" t="str">
        <f t="shared" si="6"/>
        <v>269311</v>
      </c>
      <c r="K68" t="str">
        <f t="shared" si="7"/>
        <v>Hurul Fausta Salsabillah</v>
      </c>
      <c r="L68" t="s">
        <v>63</v>
      </c>
      <c r="M68" t="s">
        <v>120</v>
      </c>
    </row>
    <row r="69" spans="1:13">
      <c r="A69" t="s">
        <v>74</v>
      </c>
      <c r="B69" t="s">
        <v>63</v>
      </c>
      <c r="C69">
        <v>26</v>
      </c>
      <c r="D69" s="4" t="s">
        <v>132</v>
      </c>
      <c r="E69" t="str">
        <f t="shared" si="4"/>
        <v>Ian Eka Pratama</v>
      </c>
      <c r="F69" t="s">
        <v>63</v>
      </c>
      <c r="G69">
        <f t="shared" si="5"/>
        <v>93</v>
      </c>
      <c r="J69" t="str">
        <f t="shared" si="6"/>
        <v>269312</v>
      </c>
      <c r="K69" t="str">
        <f t="shared" si="7"/>
        <v>Ian Eka Pratama</v>
      </c>
      <c r="L69" t="s">
        <v>63</v>
      </c>
      <c r="M69" t="s">
        <v>120</v>
      </c>
    </row>
    <row r="70" spans="1:13">
      <c r="A70" t="s">
        <v>75</v>
      </c>
      <c r="B70" t="s">
        <v>63</v>
      </c>
      <c r="C70">
        <v>26</v>
      </c>
      <c r="D70" s="4" t="s">
        <v>133</v>
      </c>
      <c r="E70" t="str">
        <f t="shared" si="4"/>
        <v>Imelia Anisa Ramadhani</v>
      </c>
      <c r="F70" t="s">
        <v>63</v>
      </c>
      <c r="G70">
        <f t="shared" si="5"/>
        <v>93</v>
      </c>
      <c r="J70" t="str">
        <f t="shared" si="6"/>
        <v>269313</v>
      </c>
      <c r="K70" t="str">
        <f t="shared" si="7"/>
        <v>Imelia Anisa Ramadhani</v>
      </c>
      <c r="L70" t="s">
        <v>63</v>
      </c>
      <c r="M70" t="s">
        <v>120</v>
      </c>
    </row>
    <row r="71" spans="1:13">
      <c r="A71" t="s">
        <v>76</v>
      </c>
      <c r="B71" t="s">
        <v>63</v>
      </c>
      <c r="C71">
        <v>26</v>
      </c>
      <c r="D71" s="4" t="s">
        <v>134</v>
      </c>
      <c r="E71" t="str">
        <f t="shared" si="4"/>
        <v>Irwan Ahmad Kurniawan</v>
      </c>
      <c r="F71" t="s">
        <v>63</v>
      </c>
      <c r="G71">
        <f t="shared" si="5"/>
        <v>93</v>
      </c>
      <c r="J71" t="str">
        <f t="shared" si="6"/>
        <v>269314</v>
      </c>
      <c r="K71" t="str">
        <f t="shared" si="7"/>
        <v>Irwan Ahmad Kurniawan</v>
      </c>
      <c r="L71" t="s">
        <v>63</v>
      </c>
      <c r="M71" t="s">
        <v>120</v>
      </c>
    </row>
    <row r="72" spans="1:13">
      <c r="A72" t="s">
        <v>77</v>
      </c>
      <c r="B72" t="s">
        <v>63</v>
      </c>
      <c r="C72">
        <v>26</v>
      </c>
      <c r="D72" s="4" t="s">
        <v>135</v>
      </c>
      <c r="E72" t="str">
        <f t="shared" si="4"/>
        <v>Ismayanti Dwi Permatasari</v>
      </c>
      <c r="F72" t="s">
        <v>63</v>
      </c>
      <c r="G72">
        <f t="shared" si="5"/>
        <v>93</v>
      </c>
      <c r="J72" t="str">
        <f t="shared" si="6"/>
        <v>269315</v>
      </c>
      <c r="K72" t="str">
        <f t="shared" si="7"/>
        <v>Ismayanti Dwi Permatasari</v>
      </c>
      <c r="L72" t="s">
        <v>63</v>
      </c>
      <c r="M72" t="s">
        <v>120</v>
      </c>
    </row>
    <row r="73" spans="1:13">
      <c r="A73" t="s">
        <v>78</v>
      </c>
      <c r="B73" t="s">
        <v>63</v>
      </c>
      <c r="C73">
        <v>26</v>
      </c>
      <c r="D73" s="4" t="s">
        <v>136</v>
      </c>
      <c r="E73" t="str">
        <f t="shared" si="4"/>
        <v>Kartika Sari Devi</v>
      </c>
      <c r="F73" t="s">
        <v>63</v>
      </c>
      <c r="G73">
        <f t="shared" si="5"/>
        <v>93</v>
      </c>
      <c r="J73" t="str">
        <f t="shared" si="6"/>
        <v>269316</v>
      </c>
      <c r="K73" t="str">
        <f t="shared" si="7"/>
        <v>Kartika Sari Devi</v>
      </c>
      <c r="L73" t="s">
        <v>63</v>
      </c>
      <c r="M73" t="s">
        <v>120</v>
      </c>
    </row>
    <row r="74" spans="1:13">
      <c r="A74" t="s">
        <v>79</v>
      </c>
      <c r="B74" t="s">
        <v>63</v>
      </c>
      <c r="C74">
        <v>26</v>
      </c>
      <c r="D74" s="4" t="s">
        <v>137</v>
      </c>
      <c r="E74" t="str">
        <f t="shared" si="4"/>
        <v>Kholishotun Nada</v>
      </c>
      <c r="F74" t="s">
        <v>63</v>
      </c>
      <c r="G74">
        <f t="shared" si="5"/>
        <v>93</v>
      </c>
      <c r="J74" t="str">
        <f t="shared" si="6"/>
        <v>269317</v>
      </c>
      <c r="K74" t="str">
        <f t="shared" si="7"/>
        <v>Kholishotun Nada</v>
      </c>
      <c r="L74" t="s">
        <v>63</v>
      </c>
      <c r="M74" t="s">
        <v>120</v>
      </c>
    </row>
    <row r="75" spans="1:13">
      <c r="A75" t="s">
        <v>80</v>
      </c>
      <c r="B75" t="s">
        <v>63</v>
      </c>
      <c r="C75">
        <v>26</v>
      </c>
      <c r="D75" s="4" t="s">
        <v>138</v>
      </c>
      <c r="E75" t="str">
        <f t="shared" si="4"/>
        <v>M. Nizar Abdillah</v>
      </c>
      <c r="F75" t="s">
        <v>63</v>
      </c>
      <c r="G75">
        <f t="shared" si="5"/>
        <v>93</v>
      </c>
      <c r="J75" t="str">
        <f t="shared" si="6"/>
        <v>269318</v>
      </c>
      <c r="K75" t="str">
        <f t="shared" si="7"/>
        <v>M. Nizar Abdillah</v>
      </c>
      <c r="L75" t="s">
        <v>63</v>
      </c>
      <c r="M75" t="s">
        <v>120</v>
      </c>
    </row>
    <row r="76" spans="1:13">
      <c r="A76" t="s">
        <v>81</v>
      </c>
      <c r="B76" t="s">
        <v>63</v>
      </c>
      <c r="C76">
        <v>26</v>
      </c>
      <c r="D76" s="4" t="s">
        <v>139</v>
      </c>
      <c r="E76" t="str">
        <f t="shared" si="4"/>
        <v>Moch. Rizky Romadhon</v>
      </c>
      <c r="F76" t="s">
        <v>63</v>
      </c>
      <c r="G76">
        <f t="shared" si="5"/>
        <v>93</v>
      </c>
      <c r="J76" t="str">
        <f t="shared" si="6"/>
        <v>269319</v>
      </c>
      <c r="K76" t="str">
        <f t="shared" si="7"/>
        <v>Moch. Rizky Romadhon</v>
      </c>
      <c r="L76" t="s">
        <v>63</v>
      </c>
      <c r="M76" t="s">
        <v>120</v>
      </c>
    </row>
    <row r="77" spans="1:13">
      <c r="A77" t="s">
        <v>82</v>
      </c>
      <c r="B77" t="s">
        <v>63</v>
      </c>
      <c r="C77">
        <v>26</v>
      </c>
      <c r="D77" s="4" t="s">
        <v>140</v>
      </c>
      <c r="E77" t="str">
        <f t="shared" si="4"/>
        <v>Mochammad Risky Hermawan</v>
      </c>
      <c r="F77" t="s">
        <v>63</v>
      </c>
      <c r="G77">
        <f t="shared" si="5"/>
        <v>93</v>
      </c>
      <c r="J77" t="str">
        <f t="shared" si="6"/>
        <v>269320</v>
      </c>
      <c r="K77" t="str">
        <f t="shared" si="7"/>
        <v>Mochammad Risky Hermawan</v>
      </c>
      <c r="L77" t="s">
        <v>63</v>
      </c>
      <c r="M77" t="s">
        <v>120</v>
      </c>
    </row>
    <row r="78" spans="1:13">
      <c r="A78" t="s">
        <v>83</v>
      </c>
      <c r="B78" t="s">
        <v>63</v>
      </c>
      <c r="C78">
        <v>26</v>
      </c>
      <c r="D78" s="4" t="s">
        <v>141</v>
      </c>
      <c r="E78" t="str">
        <f t="shared" si="4"/>
        <v>Mohamad Azril Auzan</v>
      </c>
      <c r="F78" t="s">
        <v>63</v>
      </c>
      <c r="G78">
        <f t="shared" si="5"/>
        <v>93</v>
      </c>
      <c r="J78" t="str">
        <f t="shared" si="6"/>
        <v>269321</v>
      </c>
      <c r="K78" t="str">
        <f t="shared" si="7"/>
        <v>Mohamad Azril Auzan</v>
      </c>
      <c r="L78" t="s">
        <v>63</v>
      </c>
      <c r="M78" t="s">
        <v>120</v>
      </c>
    </row>
    <row r="79" spans="1:13">
      <c r="A79" t="s">
        <v>84</v>
      </c>
      <c r="B79" t="s">
        <v>63</v>
      </c>
      <c r="C79">
        <v>26</v>
      </c>
      <c r="D79" s="4" t="s">
        <v>142</v>
      </c>
      <c r="E79" t="str">
        <f t="shared" si="4"/>
        <v>Muhamad Zona Permana</v>
      </c>
      <c r="F79" t="s">
        <v>63</v>
      </c>
      <c r="G79">
        <f t="shared" si="5"/>
        <v>93</v>
      </c>
      <c r="J79" t="str">
        <f t="shared" si="6"/>
        <v>269322</v>
      </c>
      <c r="K79" t="str">
        <f t="shared" si="7"/>
        <v>Muhamad Zona Permana</v>
      </c>
      <c r="L79" t="s">
        <v>63</v>
      </c>
      <c r="M79" t="s">
        <v>120</v>
      </c>
    </row>
    <row r="80" spans="1:13">
      <c r="A80" t="s">
        <v>85</v>
      </c>
      <c r="B80" t="s">
        <v>63</v>
      </c>
      <c r="C80">
        <v>26</v>
      </c>
      <c r="D80" s="4" t="s">
        <v>143</v>
      </c>
      <c r="E80" t="str">
        <f t="shared" si="4"/>
        <v>Muhammad Imam Arifin</v>
      </c>
      <c r="F80" t="s">
        <v>63</v>
      </c>
      <c r="G80">
        <f t="shared" si="5"/>
        <v>93</v>
      </c>
      <c r="J80" t="str">
        <f t="shared" si="6"/>
        <v>269323</v>
      </c>
      <c r="K80" t="str">
        <f t="shared" si="7"/>
        <v>Muhammad Imam Arifin</v>
      </c>
      <c r="L80" t="s">
        <v>63</v>
      </c>
      <c r="M80" t="s">
        <v>120</v>
      </c>
    </row>
    <row r="81" spans="1:13">
      <c r="A81" t="s">
        <v>86</v>
      </c>
      <c r="B81" t="s">
        <v>63</v>
      </c>
      <c r="C81">
        <v>26</v>
      </c>
      <c r="D81" s="4" t="s">
        <v>144</v>
      </c>
      <c r="E81" t="str">
        <f t="shared" si="4"/>
        <v>Nuriza Mukhtadin Mokhsit</v>
      </c>
      <c r="F81" t="s">
        <v>63</v>
      </c>
      <c r="G81">
        <f t="shared" si="5"/>
        <v>93</v>
      </c>
      <c r="J81" t="str">
        <f t="shared" si="6"/>
        <v>269324</v>
      </c>
      <c r="K81" t="str">
        <f t="shared" si="7"/>
        <v>Nuriza Mukhtadin Mokhsit</v>
      </c>
      <c r="L81" t="s">
        <v>63</v>
      </c>
      <c r="M81" t="s">
        <v>120</v>
      </c>
    </row>
    <row r="82" spans="1:13">
      <c r="A82" t="s">
        <v>87</v>
      </c>
      <c r="B82" t="s">
        <v>63</v>
      </c>
      <c r="C82">
        <v>26</v>
      </c>
      <c r="D82" s="4" t="s">
        <v>145</v>
      </c>
      <c r="E82" t="str">
        <f t="shared" si="4"/>
        <v>Rehan Saputra Supardiono</v>
      </c>
      <c r="F82" t="s">
        <v>63</v>
      </c>
      <c r="G82">
        <f t="shared" si="5"/>
        <v>93</v>
      </c>
      <c r="J82" t="str">
        <f t="shared" si="6"/>
        <v>269325</v>
      </c>
      <c r="K82" t="str">
        <f t="shared" si="7"/>
        <v>Rehan Saputra Supardiono</v>
      </c>
      <c r="L82" t="s">
        <v>63</v>
      </c>
      <c r="M82" t="s">
        <v>120</v>
      </c>
    </row>
    <row r="83" spans="1:13">
      <c r="A83" t="s">
        <v>88</v>
      </c>
      <c r="B83" t="s">
        <v>63</v>
      </c>
      <c r="C83">
        <v>26</v>
      </c>
      <c r="D83" s="4" t="s">
        <v>146</v>
      </c>
      <c r="E83" t="str">
        <f t="shared" si="4"/>
        <v>Rifa Nur Aini</v>
      </c>
      <c r="F83" t="s">
        <v>63</v>
      </c>
      <c r="G83">
        <f t="shared" si="5"/>
        <v>93</v>
      </c>
      <c r="J83" t="str">
        <f t="shared" si="6"/>
        <v>269326</v>
      </c>
      <c r="K83" t="str">
        <f t="shared" si="7"/>
        <v>Rifa Nur Aini</v>
      </c>
      <c r="L83" t="s">
        <v>63</v>
      </c>
      <c r="M83" t="s">
        <v>120</v>
      </c>
    </row>
    <row r="84" spans="1:13">
      <c r="A84" t="s">
        <v>89</v>
      </c>
      <c r="B84" t="s">
        <v>63</v>
      </c>
      <c r="C84">
        <v>26</v>
      </c>
      <c r="D84" s="4" t="s">
        <v>147</v>
      </c>
      <c r="E84" t="str">
        <f t="shared" si="4"/>
        <v>Shilvilia Nadya Putri</v>
      </c>
      <c r="F84" t="s">
        <v>63</v>
      </c>
      <c r="G84">
        <f t="shared" si="5"/>
        <v>93</v>
      </c>
      <c r="J84" t="str">
        <f t="shared" si="6"/>
        <v>269327</v>
      </c>
      <c r="K84" t="str">
        <f t="shared" si="7"/>
        <v>Shilvilia Nadya Putri</v>
      </c>
      <c r="L84" t="s">
        <v>63</v>
      </c>
      <c r="M84" t="s">
        <v>120</v>
      </c>
    </row>
    <row r="85" spans="1:13">
      <c r="A85" t="s">
        <v>90</v>
      </c>
      <c r="B85" t="s">
        <v>91</v>
      </c>
      <c r="C85">
        <v>26</v>
      </c>
      <c r="D85" s="4" t="s">
        <v>121</v>
      </c>
      <c r="E85" t="str">
        <f t="shared" si="4"/>
        <v>Achmad Andy Fatkur Rohman</v>
      </c>
      <c r="F85" t="s">
        <v>91</v>
      </c>
      <c r="G85">
        <f t="shared" si="5"/>
        <v>94</v>
      </c>
      <c r="J85" t="str">
        <f t="shared" si="6"/>
        <v>269401</v>
      </c>
      <c r="K85" t="str">
        <f t="shared" si="7"/>
        <v>Achmad Andy Fatkur Rohman</v>
      </c>
      <c r="L85" t="s">
        <v>91</v>
      </c>
      <c r="M85" t="s">
        <v>120</v>
      </c>
    </row>
    <row r="86" spans="1:13">
      <c r="A86" t="s">
        <v>92</v>
      </c>
      <c r="B86" t="s">
        <v>91</v>
      </c>
      <c r="C86">
        <v>26</v>
      </c>
      <c r="D86" s="4" t="s">
        <v>122</v>
      </c>
      <c r="E86" t="str">
        <f t="shared" si="4"/>
        <v>Alfia Masaida</v>
      </c>
      <c r="F86" t="s">
        <v>91</v>
      </c>
      <c r="G86">
        <f t="shared" si="5"/>
        <v>94</v>
      </c>
      <c r="J86" t="str">
        <f t="shared" si="6"/>
        <v>269402</v>
      </c>
      <c r="K86" t="str">
        <f t="shared" si="7"/>
        <v>Alfia Masaida</v>
      </c>
      <c r="L86" t="s">
        <v>91</v>
      </c>
      <c r="M86" t="s">
        <v>120</v>
      </c>
    </row>
    <row r="87" spans="1:13">
      <c r="A87" t="s">
        <v>93</v>
      </c>
      <c r="B87" t="s">
        <v>91</v>
      </c>
      <c r="C87">
        <v>26</v>
      </c>
      <c r="D87" s="4" t="s">
        <v>123</v>
      </c>
      <c r="E87" t="str">
        <f t="shared" si="4"/>
        <v>Ananda Khunainah</v>
      </c>
      <c r="F87" t="s">
        <v>91</v>
      </c>
      <c r="G87">
        <f t="shared" si="5"/>
        <v>94</v>
      </c>
      <c r="J87" t="str">
        <f t="shared" si="6"/>
        <v>269403</v>
      </c>
      <c r="K87" t="str">
        <f t="shared" si="7"/>
        <v>Ananda Khunainah</v>
      </c>
      <c r="L87" t="s">
        <v>91</v>
      </c>
      <c r="M87" t="s">
        <v>120</v>
      </c>
    </row>
    <row r="88" spans="1:13">
      <c r="A88" t="s">
        <v>94</v>
      </c>
      <c r="B88" t="s">
        <v>91</v>
      </c>
      <c r="C88">
        <v>26</v>
      </c>
      <c r="D88" s="4" t="s">
        <v>124</v>
      </c>
      <c r="E88" t="str">
        <f t="shared" si="4"/>
        <v>Arfi Nur Afandi</v>
      </c>
      <c r="F88" t="s">
        <v>91</v>
      </c>
      <c r="G88">
        <f t="shared" si="5"/>
        <v>94</v>
      </c>
      <c r="J88" t="str">
        <f t="shared" si="6"/>
        <v>269404</v>
      </c>
      <c r="K88" t="str">
        <f t="shared" si="7"/>
        <v>Arfi Nur Afandi</v>
      </c>
      <c r="L88" t="s">
        <v>91</v>
      </c>
      <c r="M88" t="s">
        <v>120</v>
      </c>
    </row>
    <row r="89" spans="1:13">
      <c r="A89" t="s">
        <v>95</v>
      </c>
      <c r="B89" t="s">
        <v>91</v>
      </c>
      <c r="C89">
        <v>26</v>
      </c>
      <c r="D89" s="4" t="s">
        <v>125</v>
      </c>
      <c r="E89" t="str">
        <f t="shared" si="4"/>
        <v>Ashief El Barqy Ahmad</v>
      </c>
      <c r="F89" t="s">
        <v>91</v>
      </c>
      <c r="G89">
        <f t="shared" si="5"/>
        <v>94</v>
      </c>
      <c r="J89" t="str">
        <f t="shared" si="6"/>
        <v>269405</v>
      </c>
      <c r="K89" t="str">
        <f t="shared" si="7"/>
        <v>Ashief El Barqy Ahmad</v>
      </c>
      <c r="L89" t="s">
        <v>91</v>
      </c>
      <c r="M89" t="s">
        <v>120</v>
      </c>
    </row>
    <row r="90" spans="1:13">
      <c r="A90" t="s">
        <v>96</v>
      </c>
      <c r="B90" t="s">
        <v>91</v>
      </c>
      <c r="C90">
        <v>26</v>
      </c>
      <c r="D90" s="4" t="s">
        <v>126</v>
      </c>
      <c r="E90" t="str">
        <f t="shared" si="4"/>
        <v>Fahri Prasetyo</v>
      </c>
      <c r="F90" t="s">
        <v>91</v>
      </c>
      <c r="G90">
        <f t="shared" si="5"/>
        <v>94</v>
      </c>
      <c r="J90" t="str">
        <f t="shared" si="6"/>
        <v>269406</v>
      </c>
      <c r="K90" t="str">
        <f t="shared" si="7"/>
        <v>Fahri Prasetyo</v>
      </c>
      <c r="L90" t="s">
        <v>91</v>
      </c>
      <c r="M90" t="s">
        <v>120</v>
      </c>
    </row>
    <row r="91" spans="1:13">
      <c r="A91" t="s">
        <v>97</v>
      </c>
      <c r="B91" t="s">
        <v>91</v>
      </c>
      <c r="C91">
        <v>26</v>
      </c>
      <c r="D91" s="4" t="s">
        <v>127</v>
      </c>
      <c r="E91" t="str">
        <f t="shared" si="4"/>
        <v>Fazaira Chintya Putri</v>
      </c>
      <c r="F91" t="s">
        <v>91</v>
      </c>
      <c r="G91">
        <f t="shared" si="5"/>
        <v>94</v>
      </c>
      <c r="J91" t="str">
        <f t="shared" si="6"/>
        <v>269407</v>
      </c>
      <c r="K91" t="str">
        <f t="shared" si="7"/>
        <v>Fazaira Chintya Putri</v>
      </c>
      <c r="L91" t="s">
        <v>91</v>
      </c>
      <c r="M91" t="s">
        <v>120</v>
      </c>
    </row>
    <row r="92" spans="1:13">
      <c r="A92" t="s">
        <v>98</v>
      </c>
      <c r="B92" t="s">
        <v>91</v>
      </c>
      <c r="C92">
        <v>26</v>
      </c>
      <c r="D92" s="4" t="s">
        <v>128</v>
      </c>
      <c r="E92" t="str">
        <f t="shared" si="4"/>
        <v>Hilwin Griasa Putra</v>
      </c>
      <c r="F92" t="s">
        <v>91</v>
      </c>
      <c r="G92">
        <f t="shared" si="5"/>
        <v>94</v>
      </c>
      <c r="J92" t="str">
        <f t="shared" si="6"/>
        <v>269408</v>
      </c>
      <c r="K92" t="str">
        <f t="shared" si="7"/>
        <v>Hilwin Griasa Putra</v>
      </c>
      <c r="L92" t="s">
        <v>91</v>
      </c>
      <c r="M92" t="s">
        <v>120</v>
      </c>
    </row>
    <row r="93" spans="1:13">
      <c r="A93" t="s">
        <v>99</v>
      </c>
      <c r="B93" t="s">
        <v>91</v>
      </c>
      <c r="C93">
        <v>26</v>
      </c>
      <c r="D93" s="4" t="s">
        <v>129</v>
      </c>
      <c r="E93" t="str">
        <f t="shared" si="4"/>
        <v>M. Agis Nur Ariansyah</v>
      </c>
      <c r="F93" t="s">
        <v>91</v>
      </c>
      <c r="G93">
        <f t="shared" si="5"/>
        <v>94</v>
      </c>
      <c r="J93" t="str">
        <f t="shared" si="6"/>
        <v>269409</v>
      </c>
      <c r="K93" t="str">
        <f t="shared" si="7"/>
        <v>M. Agis Nur Ariansyah</v>
      </c>
      <c r="L93" t="s">
        <v>91</v>
      </c>
      <c r="M93" t="s">
        <v>120</v>
      </c>
    </row>
    <row r="94" spans="1:13">
      <c r="A94" t="s">
        <v>100</v>
      </c>
      <c r="B94" t="s">
        <v>91</v>
      </c>
      <c r="C94">
        <v>26</v>
      </c>
      <c r="D94" s="4" t="s">
        <v>130</v>
      </c>
      <c r="E94" t="str">
        <f t="shared" si="4"/>
        <v>M. Falen Yudha Permana</v>
      </c>
      <c r="F94" t="s">
        <v>91</v>
      </c>
      <c r="G94">
        <f t="shared" si="5"/>
        <v>94</v>
      </c>
      <c r="J94" t="str">
        <f t="shared" si="6"/>
        <v>269410</v>
      </c>
      <c r="K94" t="str">
        <f t="shared" si="7"/>
        <v>M. Falen Yudha Permana</v>
      </c>
      <c r="L94" t="s">
        <v>91</v>
      </c>
      <c r="M94" t="s">
        <v>120</v>
      </c>
    </row>
    <row r="95" spans="1:13">
      <c r="A95" t="s">
        <v>101</v>
      </c>
      <c r="B95" t="s">
        <v>91</v>
      </c>
      <c r="C95">
        <v>26</v>
      </c>
      <c r="D95" s="4" t="s">
        <v>131</v>
      </c>
      <c r="E95" t="str">
        <f t="shared" si="4"/>
        <v>Maulana Aditya Akhdan</v>
      </c>
      <c r="F95" t="s">
        <v>91</v>
      </c>
      <c r="G95">
        <f t="shared" si="5"/>
        <v>94</v>
      </c>
      <c r="J95" t="str">
        <f t="shared" si="6"/>
        <v>269411</v>
      </c>
      <c r="K95" t="str">
        <f t="shared" si="7"/>
        <v>Maulana Aditya Akhdan</v>
      </c>
      <c r="L95" t="s">
        <v>91</v>
      </c>
      <c r="M95" t="s">
        <v>120</v>
      </c>
    </row>
    <row r="96" spans="1:13">
      <c r="A96" t="s">
        <v>102</v>
      </c>
      <c r="B96" t="s">
        <v>91</v>
      </c>
      <c r="C96">
        <v>26</v>
      </c>
      <c r="D96" s="4" t="s">
        <v>132</v>
      </c>
      <c r="E96" t="str">
        <f t="shared" si="4"/>
        <v>Mohammad Afit Syaputra</v>
      </c>
      <c r="F96" t="s">
        <v>91</v>
      </c>
      <c r="G96">
        <f t="shared" si="5"/>
        <v>94</v>
      </c>
      <c r="J96" t="str">
        <f t="shared" si="6"/>
        <v>269412</v>
      </c>
      <c r="K96" t="str">
        <f t="shared" si="7"/>
        <v>Mohammad Afit Syaputra</v>
      </c>
      <c r="L96" t="s">
        <v>91</v>
      </c>
      <c r="M96" t="s">
        <v>120</v>
      </c>
    </row>
    <row r="97" spans="1:13">
      <c r="A97" t="s">
        <v>103</v>
      </c>
      <c r="B97" t="s">
        <v>91</v>
      </c>
      <c r="C97">
        <v>26</v>
      </c>
      <c r="D97" s="4" t="s">
        <v>133</v>
      </c>
      <c r="E97" t="str">
        <f t="shared" si="4"/>
        <v>Muhammad Aditya Prasetyo</v>
      </c>
      <c r="F97" t="s">
        <v>91</v>
      </c>
      <c r="G97">
        <f t="shared" si="5"/>
        <v>94</v>
      </c>
      <c r="J97" t="str">
        <f t="shared" si="6"/>
        <v>269413</v>
      </c>
      <c r="K97" t="str">
        <f t="shared" si="7"/>
        <v>Muhammad Aditya Prasetyo</v>
      </c>
      <c r="L97" t="s">
        <v>91</v>
      </c>
      <c r="M97" t="s">
        <v>120</v>
      </c>
    </row>
    <row r="98" spans="1:13">
      <c r="A98" t="s">
        <v>104</v>
      </c>
      <c r="B98" t="s">
        <v>91</v>
      </c>
      <c r="C98">
        <v>26</v>
      </c>
      <c r="D98" s="4" t="s">
        <v>134</v>
      </c>
      <c r="E98" t="str">
        <f t="shared" si="4"/>
        <v>Muhammad Hamzah Fadilah</v>
      </c>
      <c r="F98" t="s">
        <v>91</v>
      </c>
      <c r="G98">
        <f t="shared" si="5"/>
        <v>94</v>
      </c>
      <c r="J98" t="str">
        <f t="shared" si="6"/>
        <v>269414</v>
      </c>
      <c r="K98" t="str">
        <f t="shared" si="7"/>
        <v>Muhammad Hamzah Fadilah</v>
      </c>
      <c r="L98" t="s">
        <v>91</v>
      </c>
      <c r="M98" t="s">
        <v>120</v>
      </c>
    </row>
    <row r="99" spans="1:13">
      <c r="A99" t="s">
        <v>105</v>
      </c>
      <c r="B99" t="s">
        <v>91</v>
      </c>
      <c r="C99">
        <v>26</v>
      </c>
      <c r="D99" s="4" t="s">
        <v>135</v>
      </c>
      <c r="E99" t="str">
        <f t="shared" si="4"/>
        <v>Muhammad Nashifuddin Al Jufri</v>
      </c>
      <c r="F99" t="s">
        <v>91</v>
      </c>
      <c r="G99">
        <f t="shared" si="5"/>
        <v>94</v>
      </c>
      <c r="J99" t="str">
        <f t="shared" si="6"/>
        <v>269415</v>
      </c>
      <c r="K99" t="str">
        <f t="shared" si="7"/>
        <v>Muhammad Nashifuddin Al Jufri</v>
      </c>
      <c r="L99" t="s">
        <v>91</v>
      </c>
      <c r="M99" t="s">
        <v>120</v>
      </c>
    </row>
    <row r="100" spans="1:13">
      <c r="A100" t="s">
        <v>106</v>
      </c>
      <c r="B100" t="s">
        <v>91</v>
      </c>
      <c r="C100">
        <v>26</v>
      </c>
      <c r="D100" s="4" t="s">
        <v>136</v>
      </c>
      <c r="E100" t="str">
        <f t="shared" si="4"/>
        <v>Muhammad Nofal Al - Hamid</v>
      </c>
      <c r="F100" t="s">
        <v>91</v>
      </c>
      <c r="G100">
        <f t="shared" si="5"/>
        <v>94</v>
      </c>
      <c r="J100" t="str">
        <f t="shared" si="6"/>
        <v>269416</v>
      </c>
      <c r="K100" t="str">
        <f t="shared" si="7"/>
        <v>Muhammad Nofal Al - Hamid</v>
      </c>
      <c r="L100" t="s">
        <v>91</v>
      </c>
      <c r="M100" t="s">
        <v>120</v>
      </c>
    </row>
    <row r="101" spans="1:13">
      <c r="A101" t="s">
        <v>107</v>
      </c>
      <c r="B101" t="s">
        <v>91</v>
      </c>
      <c r="C101">
        <v>26</v>
      </c>
      <c r="D101" s="4" t="s">
        <v>137</v>
      </c>
      <c r="E101" t="str">
        <f t="shared" si="4"/>
        <v>Muhammad Riskhi Arifin</v>
      </c>
      <c r="F101" t="s">
        <v>91</v>
      </c>
      <c r="G101">
        <f t="shared" si="5"/>
        <v>94</v>
      </c>
      <c r="J101" t="str">
        <f t="shared" si="6"/>
        <v>269417</v>
      </c>
      <c r="K101" t="str">
        <f t="shared" si="7"/>
        <v>Muhammad Riskhi Arifin</v>
      </c>
      <c r="L101" t="s">
        <v>91</v>
      </c>
      <c r="M101" t="s">
        <v>120</v>
      </c>
    </row>
    <row r="102" spans="1:13">
      <c r="A102" t="s">
        <v>108</v>
      </c>
      <c r="B102" t="s">
        <v>91</v>
      </c>
      <c r="C102">
        <v>26</v>
      </c>
      <c r="D102" s="4" t="s">
        <v>138</v>
      </c>
      <c r="E102" t="str">
        <f t="shared" si="4"/>
        <v>Muhammad Rivaldo Amiruddin</v>
      </c>
      <c r="F102" t="s">
        <v>91</v>
      </c>
      <c r="G102">
        <f t="shared" si="5"/>
        <v>94</v>
      </c>
      <c r="J102" t="str">
        <f t="shared" si="6"/>
        <v>269418</v>
      </c>
      <c r="K102" t="str">
        <f t="shared" si="7"/>
        <v>Muhammad Rivaldo Amiruddin</v>
      </c>
      <c r="L102" t="s">
        <v>91</v>
      </c>
      <c r="M102" t="s">
        <v>120</v>
      </c>
    </row>
    <row r="103" spans="1:13">
      <c r="A103" t="s">
        <v>109</v>
      </c>
      <c r="B103" t="s">
        <v>91</v>
      </c>
      <c r="C103">
        <v>26</v>
      </c>
      <c r="D103" s="4" t="s">
        <v>139</v>
      </c>
      <c r="E103" t="str">
        <f t="shared" si="4"/>
        <v>Najwa Aulia Bilgis</v>
      </c>
      <c r="F103" t="s">
        <v>91</v>
      </c>
      <c r="G103">
        <f t="shared" si="5"/>
        <v>94</v>
      </c>
      <c r="J103" t="str">
        <f t="shared" si="6"/>
        <v>269419</v>
      </c>
      <c r="K103" t="str">
        <f t="shared" si="7"/>
        <v>Najwa Aulia Bilgis</v>
      </c>
      <c r="L103" t="s">
        <v>91</v>
      </c>
      <c r="M103" t="s">
        <v>120</v>
      </c>
    </row>
    <row r="104" spans="1:13">
      <c r="A104" t="s">
        <v>110</v>
      </c>
      <c r="B104" t="s">
        <v>91</v>
      </c>
      <c r="C104">
        <v>26</v>
      </c>
      <c r="D104" s="4" t="s">
        <v>140</v>
      </c>
      <c r="E104" t="str">
        <f t="shared" si="4"/>
        <v>Nikmatul Khasanah</v>
      </c>
      <c r="F104" t="s">
        <v>91</v>
      </c>
      <c r="G104">
        <f t="shared" si="5"/>
        <v>94</v>
      </c>
      <c r="J104" t="str">
        <f t="shared" si="6"/>
        <v>269420</v>
      </c>
      <c r="K104" t="str">
        <f t="shared" si="7"/>
        <v>Nikmatul Khasanah</v>
      </c>
      <c r="L104" t="s">
        <v>91</v>
      </c>
      <c r="M104" t="s">
        <v>120</v>
      </c>
    </row>
    <row r="105" spans="1:13">
      <c r="A105" t="s">
        <v>111</v>
      </c>
      <c r="B105" t="s">
        <v>91</v>
      </c>
      <c r="C105">
        <v>26</v>
      </c>
      <c r="D105" s="4" t="s">
        <v>141</v>
      </c>
      <c r="E105" t="str">
        <f t="shared" si="4"/>
        <v>Nisrina Zahira</v>
      </c>
      <c r="F105" t="s">
        <v>91</v>
      </c>
      <c r="G105">
        <f t="shared" si="5"/>
        <v>94</v>
      </c>
      <c r="J105" t="str">
        <f t="shared" si="6"/>
        <v>269421</v>
      </c>
      <c r="K105" t="str">
        <f t="shared" si="7"/>
        <v>Nisrina Zahira</v>
      </c>
      <c r="L105" t="s">
        <v>91</v>
      </c>
      <c r="M105" t="s">
        <v>120</v>
      </c>
    </row>
    <row r="106" spans="1:13">
      <c r="A106" t="s">
        <v>112</v>
      </c>
      <c r="B106" t="s">
        <v>91</v>
      </c>
      <c r="C106">
        <v>26</v>
      </c>
      <c r="D106" s="4" t="s">
        <v>142</v>
      </c>
      <c r="E106" t="str">
        <f t="shared" si="4"/>
        <v>Rania Alfa Madina</v>
      </c>
      <c r="F106" t="s">
        <v>91</v>
      </c>
      <c r="G106">
        <f t="shared" si="5"/>
        <v>94</v>
      </c>
      <c r="J106" t="str">
        <f t="shared" si="6"/>
        <v>269422</v>
      </c>
      <c r="K106" t="str">
        <f t="shared" si="7"/>
        <v>Rania Alfa Madina</v>
      </c>
      <c r="L106" t="s">
        <v>91</v>
      </c>
      <c r="M106" t="s">
        <v>120</v>
      </c>
    </row>
    <row r="107" spans="1:13">
      <c r="A107" t="s">
        <v>113</v>
      </c>
      <c r="B107" t="s">
        <v>91</v>
      </c>
      <c r="C107">
        <v>26</v>
      </c>
      <c r="D107" s="4" t="s">
        <v>143</v>
      </c>
      <c r="E107" t="str">
        <f t="shared" si="4"/>
        <v>Safa Atus Sadiyah</v>
      </c>
      <c r="F107" t="s">
        <v>91</v>
      </c>
      <c r="G107">
        <f t="shared" si="5"/>
        <v>94</v>
      </c>
      <c r="J107" t="str">
        <f t="shared" si="6"/>
        <v>269423</v>
      </c>
      <c r="K107" t="str">
        <f t="shared" si="7"/>
        <v>Safa Atus Sadiyah</v>
      </c>
      <c r="L107" t="s">
        <v>91</v>
      </c>
      <c r="M107" t="s">
        <v>120</v>
      </c>
    </row>
    <row r="108" spans="1:13">
      <c r="A108" t="s">
        <v>114</v>
      </c>
      <c r="B108" t="s">
        <v>91</v>
      </c>
      <c r="C108">
        <v>26</v>
      </c>
      <c r="D108" s="4" t="s">
        <v>144</v>
      </c>
      <c r="E108" t="str">
        <f t="shared" si="4"/>
        <v>Surya Aditya Pangestu</v>
      </c>
      <c r="F108" t="s">
        <v>91</v>
      </c>
      <c r="G108">
        <f t="shared" si="5"/>
        <v>94</v>
      </c>
      <c r="J108" t="str">
        <f t="shared" si="6"/>
        <v>269424</v>
      </c>
      <c r="K108" t="str">
        <f t="shared" si="7"/>
        <v>Surya Aditya Pangestu</v>
      </c>
      <c r="L108" t="s">
        <v>91</v>
      </c>
      <c r="M108" t="s">
        <v>120</v>
      </c>
    </row>
    <row r="109" spans="1:13">
      <c r="A109" t="s">
        <v>115</v>
      </c>
      <c r="B109" t="s">
        <v>91</v>
      </c>
      <c r="C109">
        <v>26</v>
      </c>
      <c r="D109" s="4" t="s">
        <v>145</v>
      </c>
      <c r="E109" t="str">
        <f t="shared" si="4"/>
        <v>Umar Radikal Albar</v>
      </c>
      <c r="F109" t="s">
        <v>91</v>
      </c>
      <c r="G109">
        <f t="shared" si="5"/>
        <v>94</v>
      </c>
      <c r="J109" t="str">
        <f t="shared" si="6"/>
        <v>269425</v>
      </c>
      <c r="K109" t="str">
        <f t="shared" si="7"/>
        <v>Umar Radikal Albar</v>
      </c>
      <c r="L109" t="s">
        <v>91</v>
      </c>
      <c r="M109" t="s">
        <v>120</v>
      </c>
    </row>
    <row r="110" spans="1:13">
      <c r="A110" t="s">
        <v>116</v>
      </c>
      <c r="B110" t="s">
        <v>91</v>
      </c>
      <c r="C110">
        <v>26</v>
      </c>
      <c r="D110" s="4" t="s">
        <v>146</v>
      </c>
      <c r="E110" t="str">
        <f t="shared" si="4"/>
        <v>Vika Putri Kurnia</v>
      </c>
      <c r="F110" t="s">
        <v>91</v>
      </c>
      <c r="G110">
        <f t="shared" si="5"/>
        <v>94</v>
      </c>
      <c r="J110" t="str">
        <f t="shared" si="6"/>
        <v>269426</v>
      </c>
      <c r="K110" t="str">
        <f t="shared" si="7"/>
        <v>Vika Putri Kurnia</v>
      </c>
      <c r="L110" t="s">
        <v>91</v>
      </c>
      <c r="M110" t="s">
        <v>120</v>
      </c>
    </row>
    <row r="111" spans="1:13">
      <c r="A111" t="s">
        <v>117</v>
      </c>
      <c r="B111" t="s">
        <v>91</v>
      </c>
      <c r="C111">
        <v>26</v>
      </c>
      <c r="D111" s="4" t="s">
        <v>147</v>
      </c>
      <c r="E111" t="str">
        <f t="shared" si="4"/>
        <v>Wendy Pradita Kurniawan</v>
      </c>
      <c r="F111" t="s">
        <v>91</v>
      </c>
      <c r="G111">
        <f t="shared" si="5"/>
        <v>94</v>
      </c>
      <c r="J111" t="str">
        <f t="shared" si="6"/>
        <v>269427</v>
      </c>
      <c r="K111" t="str">
        <f t="shared" si="7"/>
        <v>Wendy Pradita Kurniawan</v>
      </c>
      <c r="L111" t="s">
        <v>91</v>
      </c>
      <c r="M111" t="s">
        <v>120</v>
      </c>
    </row>
    <row r="112" spans="1:13">
      <c r="A112" t="s">
        <v>118</v>
      </c>
      <c r="B112" t="s">
        <v>91</v>
      </c>
      <c r="C112">
        <v>26</v>
      </c>
      <c r="D112" s="4" t="s">
        <v>148</v>
      </c>
      <c r="E112" t="str">
        <f t="shared" si="4"/>
        <v>Yuliana Meysaroh</v>
      </c>
      <c r="F112" t="s">
        <v>91</v>
      </c>
      <c r="G112">
        <f t="shared" si="5"/>
        <v>94</v>
      </c>
      <c r="J112" t="str">
        <f t="shared" si="6"/>
        <v>269428</v>
      </c>
      <c r="K112" t="str">
        <f t="shared" si="7"/>
        <v>Yuliana Meysaroh</v>
      </c>
      <c r="L112" t="s">
        <v>91</v>
      </c>
      <c r="M112" t="s">
        <v>120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MyBook PRO K5</cp:lastModifiedBy>
  <dcterms:modified xsi:type="dcterms:W3CDTF">2026-05-09T02:21:43Z</dcterms:modified>
</cp:coreProperties>
</file>